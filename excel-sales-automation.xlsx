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valia\Desktop\case\"/>
    </mc:Choice>
  </mc:AlternateContent>
  <xr:revisionPtr revIDLastSave="0" documentId="8_{0FCEEC8D-97C0-4CF5-A97F-6E1392578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26" r:id="rId1"/>
    <sheet name="PLAN" sheetId="19" r:id="rId2"/>
    <sheet name="filter" sheetId="25" state="veryHidden" r:id="rId3"/>
    <sheet name="products" sheetId="21" state="veryHidden" r:id="rId4"/>
    <sheet name="list" sheetId="7" state="veryHidden" r:id="rId5"/>
    <sheet name="price" sheetId="13" state="veryHidden" r:id="rId6"/>
    <sheet name="manager_distr" sheetId="23" state="veryHidden" r:id="rId7"/>
  </sheets>
  <definedNames>
    <definedName name="_xlnm._FilterDatabase" localSheetId="2" hidden="1">filter!$A$2:$D$1352</definedName>
    <definedName name="_xlnm._FilterDatabase" localSheetId="4" hidden="1">list!$A$1:$F$1337</definedName>
    <definedName name="_xlnm._FilterDatabase" localSheetId="1" hidden="1">PLAN!$O$2:$O$358</definedName>
    <definedName name="_xlnm._FilterDatabase" localSheetId="5" hidden="1">price!$A$3:$B$292</definedName>
    <definedName name="_xlnm._FilterDatabase" localSheetId="3" hidden="1">products!$A$1:$G$452</definedName>
    <definedName name="All_groups">products!$D$2:$D$11</definedName>
    <definedName name="All_managers">manager_distr!$F$2:$F$10</definedName>
    <definedName name="Bailey_Cantrell">manager_distr!$B$2:$B$3</definedName>
    <definedName name="Kobi_Huffman">manager_distr!$D$2:$D$4</definedName>
    <definedName name="Maximillian_Mahoney">manager_distr!$C$2:$C$4</definedName>
    <definedName name="products">OFFSET(filter!$D$3,0,0,MAX(filter!$A:$A),1)</definedName>
    <definedName name="Theodore_Kim">manager_distr!$E$2</definedName>
    <definedName name="TIMEWATCH">products!$C$2:$C$5</definedName>
    <definedName name="WOODTECH">products!$B$2:$B$7</definedName>
  </definedNames>
  <calcPr calcId="181029"/>
</workbook>
</file>

<file path=xl/calcChain.xml><?xml version="1.0" encoding="utf-8"?>
<calcChain xmlns="http://schemas.openxmlformats.org/spreadsheetml/2006/main">
  <c r="H4" i="19" l="1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3" i="19"/>
  <c r="F4" i="19"/>
  <c r="F5" i="19"/>
  <c r="H5" i="19" s="1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3" i="19"/>
  <c r="D11" i="7"/>
  <c r="D3" i="7"/>
  <c r="D4" i="7"/>
  <c r="D5" i="7"/>
  <c r="D6" i="7"/>
  <c r="D7" i="7"/>
  <c r="D8" i="7"/>
  <c r="D9" i="7"/>
  <c r="D10" i="7"/>
  <c r="D2" i="7"/>
  <c r="D963" i="7" l="1"/>
  <c r="D957" i="7" l="1"/>
  <c r="D958" i="7"/>
  <c r="D959" i="7"/>
  <c r="D960" i="7"/>
  <c r="D961" i="7"/>
  <c r="D962" i="7"/>
  <c r="A442" i="25" l="1"/>
  <c r="A443" i="25"/>
  <c r="A444" i="25"/>
  <c r="A445" i="25"/>
  <c r="A446" i="25"/>
  <c r="A447" i="25"/>
  <c r="A448" i="25"/>
  <c r="A449" i="25"/>
  <c r="A450" i="25"/>
  <c r="A451" i="25"/>
  <c r="A452" i="25"/>
  <c r="A453" i="25"/>
  <c r="A454" i="25"/>
  <c r="A455" i="25"/>
  <c r="A456" i="25"/>
  <c r="A457" i="25"/>
  <c r="A458" i="25"/>
  <c r="A459" i="25"/>
  <c r="A460" i="25"/>
  <c r="A461" i="25"/>
  <c r="A462" i="25"/>
  <c r="A463" i="25"/>
  <c r="A464" i="25"/>
  <c r="A465" i="25"/>
  <c r="A466" i="25"/>
  <c r="A467" i="25"/>
  <c r="A468" i="25"/>
  <c r="A469" i="25"/>
  <c r="A470" i="25"/>
  <c r="A471" i="25"/>
  <c r="A472" i="25"/>
  <c r="A473" i="25"/>
  <c r="A474" i="25"/>
  <c r="A475" i="25"/>
  <c r="A476" i="25"/>
  <c r="A477" i="25"/>
  <c r="A478" i="25"/>
  <c r="A479" i="25"/>
  <c r="A480" i="25"/>
  <c r="A481" i="25"/>
  <c r="A482" i="25"/>
  <c r="A483" i="25"/>
  <c r="A484" i="25"/>
  <c r="A485" i="25"/>
  <c r="A486" i="25"/>
  <c r="A487" i="25"/>
  <c r="A488" i="25"/>
  <c r="A489" i="25"/>
  <c r="A490" i="25"/>
  <c r="A491" i="25"/>
  <c r="A492" i="25"/>
  <c r="A493" i="25"/>
  <c r="A494" i="25"/>
  <c r="A495" i="25"/>
  <c r="A496" i="25"/>
  <c r="A497" i="25"/>
  <c r="A498" i="25"/>
  <c r="A499" i="25"/>
  <c r="A500" i="25"/>
  <c r="A501" i="25"/>
  <c r="A502" i="25"/>
  <c r="A503" i="25"/>
  <c r="A504" i="25"/>
  <c r="A505" i="25"/>
  <c r="A506" i="25"/>
  <c r="A507" i="25"/>
  <c r="A508" i="25"/>
  <c r="A509" i="25"/>
  <c r="A510" i="25"/>
  <c r="A511" i="25"/>
  <c r="A512" i="25"/>
  <c r="A513" i="25"/>
  <c r="A514" i="25"/>
  <c r="A515" i="25"/>
  <c r="A516" i="25"/>
  <c r="A517" i="25"/>
  <c r="A518" i="25"/>
  <c r="A519" i="25"/>
  <c r="A520" i="25"/>
  <c r="A521" i="25"/>
  <c r="A522" i="25"/>
  <c r="A523" i="25"/>
  <c r="A524" i="25"/>
  <c r="A525" i="25"/>
  <c r="A526" i="25"/>
  <c r="A527" i="25"/>
  <c r="A528" i="25"/>
  <c r="A529" i="25"/>
  <c r="A530" i="25"/>
  <c r="A531" i="25"/>
  <c r="A532" i="25"/>
  <c r="A533" i="25"/>
  <c r="A534" i="25"/>
  <c r="A535" i="25"/>
  <c r="D955" i="7"/>
  <c r="D956" i="7"/>
  <c r="D954" i="7"/>
  <c r="D953" i="7"/>
  <c r="D952" i="7"/>
  <c r="D951" i="7"/>
  <c r="D950" i="7"/>
  <c r="D949" i="7"/>
  <c r="D948" i="7" l="1"/>
  <c r="D32" i="7" l="1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12" i="7" l="1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A537" i="25" l="1"/>
  <c r="A538" i="25"/>
  <c r="A539" i="25"/>
  <c r="A540" i="25"/>
  <c r="A541" i="25"/>
  <c r="A542" i="25"/>
  <c r="A543" i="25"/>
  <c r="A544" i="25"/>
  <c r="A545" i="25"/>
  <c r="A546" i="25"/>
  <c r="A547" i="25"/>
  <c r="A548" i="25"/>
  <c r="A549" i="25"/>
  <c r="A550" i="25"/>
  <c r="A551" i="25"/>
  <c r="A552" i="25"/>
  <c r="A553" i="25"/>
  <c r="A554" i="25"/>
  <c r="A555" i="25"/>
  <c r="A556" i="25"/>
  <c r="A557" i="25"/>
  <c r="A558" i="25"/>
  <c r="C1" i="23"/>
  <c r="B1" i="23"/>
  <c r="F1" i="23"/>
  <c r="D1" i="23"/>
  <c r="D1" i="21"/>
  <c r="E1" i="23"/>
  <c r="A3" i="25" l="1"/>
  <c r="A4" i="25" l="1"/>
  <c r="A5" i="25" s="1"/>
  <c r="A6" i="25" s="1"/>
  <c r="A7" i="25" l="1"/>
  <c r="A8" i="25" l="1"/>
  <c r="A9" i="25" s="1"/>
  <c r="A10" i="25" s="1"/>
  <c r="A11" i="25" s="1"/>
  <c r="A12" i="25" s="1"/>
  <c r="A13" i="25" l="1"/>
  <c r="A14" i="25" l="1"/>
  <c r="A15" i="25" s="1"/>
  <c r="A16" i="25" l="1"/>
  <c r="A17" i="25" s="1"/>
  <c r="A18" i="25" l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l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A268" i="25" s="1"/>
  <c r="A269" i="25" s="1"/>
  <c r="A270" i="25" s="1"/>
  <c r="A271" i="25" s="1"/>
  <c r="A272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6" i="25" s="1"/>
  <c r="A287" i="25" s="1"/>
  <c r="A288" i="25" s="1"/>
  <c r="A289" i="25" s="1"/>
  <c r="A290" i="25" s="1"/>
  <c r="A291" i="25" s="1"/>
  <c r="A292" i="25" s="1"/>
  <c r="A293" i="25" s="1"/>
  <c r="A294" i="25" s="1"/>
  <c r="A295" i="25" s="1"/>
  <c r="A296" i="25" s="1"/>
  <c r="A297" i="25" s="1"/>
  <c r="A298" i="25" s="1"/>
  <c r="A299" i="25" s="1"/>
  <c r="A300" i="25" s="1"/>
  <c r="A301" i="25" s="1"/>
  <c r="A302" i="25" s="1"/>
  <c r="A303" i="25" s="1"/>
  <c r="A304" i="25" s="1"/>
  <c r="A305" i="25" s="1"/>
  <c r="A306" i="25" s="1"/>
  <c r="A307" i="25" s="1"/>
  <c r="A308" i="25" s="1"/>
  <c r="A309" i="25" s="1"/>
  <c r="A310" i="25" s="1"/>
  <c r="A311" i="25" s="1"/>
  <c r="A312" i="25" s="1"/>
  <c r="A313" i="25" s="1"/>
  <c r="A314" i="25" s="1"/>
  <c r="A315" i="25" s="1"/>
  <c r="A316" i="25" s="1"/>
  <c r="A317" i="25" s="1"/>
  <c r="A318" i="25" s="1"/>
  <c r="A319" i="25" s="1"/>
  <c r="A320" i="25" s="1"/>
  <c r="A321" i="25" s="1"/>
  <c r="A322" i="25" s="1"/>
  <c r="A323" i="25" s="1"/>
  <c r="A324" i="25" s="1"/>
  <c r="A325" i="25" s="1"/>
  <c r="A326" i="25" s="1"/>
  <c r="A327" i="25" s="1"/>
  <c r="A328" i="25" s="1"/>
  <c r="A329" i="25" s="1"/>
  <c r="A330" i="25" s="1"/>
  <c r="A331" i="25" s="1"/>
  <c r="A332" i="25" s="1"/>
  <c r="A333" i="25" s="1"/>
  <c r="A334" i="25" s="1"/>
  <c r="A335" i="25" s="1"/>
  <c r="A336" i="25" s="1"/>
  <c r="A337" i="25" s="1"/>
  <c r="A338" i="25" s="1"/>
  <c r="A339" i="25" s="1"/>
  <c r="A340" i="25" s="1"/>
  <c r="A341" i="25" s="1"/>
  <c r="A342" i="25" s="1"/>
  <c r="A343" i="25" s="1"/>
  <c r="A344" i="25" s="1"/>
  <c r="A345" i="25" s="1"/>
  <c r="A346" i="25" s="1"/>
  <c r="A347" i="25" s="1"/>
  <c r="A348" i="25" s="1"/>
  <c r="A349" i="25" s="1"/>
  <c r="A350" i="25" s="1"/>
  <c r="A351" i="25" s="1"/>
  <c r="A352" i="25" s="1"/>
  <c r="A353" i="25" s="1"/>
  <c r="A354" i="25" s="1"/>
  <c r="A355" i="25" s="1"/>
  <c r="A356" i="25" s="1"/>
  <c r="A357" i="25" s="1"/>
  <c r="A358" i="25" s="1"/>
  <c r="A359" i="25" s="1"/>
  <c r="A360" i="25" s="1"/>
  <c r="A361" i="25" s="1"/>
  <c r="A362" i="25" s="1"/>
  <c r="A363" i="25" s="1"/>
  <c r="A364" i="25" s="1"/>
  <c r="A365" i="25" s="1"/>
  <c r="A366" i="25" s="1"/>
  <c r="A367" i="25" s="1"/>
  <c r="A368" i="25" s="1"/>
  <c r="A369" i="25" s="1"/>
  <c r="A370" i="25" s="1"/>
  <c r="A371" i="25" s="1"/>
  <c r="A372" i="25" s="1"/>
  <c r="A373" i="25" s="1"/>
  <c r="A374" i="25" s="1"/>
  <c r="A375" i="25" s="1"/>
  <c r="A376" i="25" s="1"/>
  <c r="A377" i="25" s="1"/>
  <c r="A378" i="25" s="1"/>
  <c r="A379" i="25" s="1"/>
  <c r="A380" i="25" s="1"/>
  <c r="A381" i="25" s="1"/>
  <c r="A382" i="25" s="1"/>
  <c r="A383" i="25" s="1"/>
  <c r="A384" i="25" s="1"/>
  <c r="A385" i="25" s="1"/>
  <c r="A386" i="25" s="1"/>
  <c r="A387" i="25" s="1"/>
  <c r="A388" i="25" s="1"/>
  <c r="A389" i="25" s="1"/>
  <c r="A390" i="25" s="1"/>
  <c r="A391" i="25" s="1"/>
  <c r="A392" i="25" s="1"/>
  <c r="A393" i="25" s="1"/>
  <c r="A394" i="25" s="1"/>
  <c r="A395" i="25" s="1"/>
  <c r="A396" i="25" s="1"/>
  <c r="A397" i="25" s="1"/>
  <c r="A398" i="25" s="1"/>
  <c r="A399" i="25" s="1"/>
  <c r="A400" i="25" s="1"/>
  <c r="A401" i="25" s="1"/>
  <c r="A402" i="25" s="1"/>
  <c r="A403" i="25" s="1"/>
  <c r="A404" i="25" s="1"/>
  <c r="A405" i="25" s="1"/>
  <c r="A406" i="25" s="1"/>
  <c r="A407" i="25" s="1"/>
  <c r="A408" i="25" s="1"/>
  <c r="A409" i="25" s="1"/>
  <c r="A410" i="25" s="1"/>
  <c r="A411" i="25" s="1"/>
  <c r="A412" i="25" s="1"/>
  <c r="A413" i="25" s="1"/>
  <c r="A414" i="25" s="1"/>
  <c r="A415" i="25" s="1"/>
  <c r="A416" i="25" l="1"/>
  <c r="A417" i="25" s="1"/>
  <c r="A418" i="25" s="1"/>
  <c r="A419" i="25" s="1"/>
  <c r="A420" i="25" s="1"/>
  <c r="A421" i="25" s="1"/>
  <c r="A422" i="25" s="1"/>
  <c r="A423" i="25" s="1"/>
  <c r="A424" i="25" s="1"/>
  <c r="A425" i="25" s="1"/>
  <c r="A426" i="25" s="1"/>
  <c r="A427" i="25" l="1"/>
  <c r="A428" i="25" l="1"/>
  <c r="A429" i="25" l="1"/>
  <c r="A430" i="25" l="1"/>
  <c r="A431" i="25" l="1"/>
  <c r="A432" i="25" l="1"/>
  <c r="A433" i="25" l="1"/>
  <c r="A434" i="25" l="1"/>
  <c r="A435" i="25" l="1"/>
  <c r="A436" i="25" l="1"/>
  <c r="A437" i="25" s="1"/>
  <c r="A438" i="25" s="1"/>
  <c r="A439" i="25" s="1"/>
  <c r="A440" i="25" s="1"/>
  <c r="A441" i="25" l="1"/>
  <c r="D251" i="25" s="1"/>
  <c r="D464" i="25"/>
  <c r="D479" i="25"/>
  <c r="D460" i="25"/>
  <c r="D412" i="25"/>
  <c r="D314" i="25"/>
  <c r="D402" i="25"/>
  <c r="D221" i="25"/>
  <c r="D323" i="25"/>
  <c r="D368" i="25"/>
  <c r="D229" i="25"/>
  <c r="D268" i="25"/>
  <c r="D357" i="25"/>
  <c r="D249" i="25"/>
  <c r="D272" i="25"/>
  <c r="D482" i="25"/>
  <c r="D443" i="25"/>
  <c r="D247" i="25"/>
  <c r="D239" i="25"/>
  <c r="D448" i="25"/>
  <c r="D208" i="25"/>
  <c r="D327" i="25"/>
  <c r="D447" i="25"/>
  <c r="D207" i="25"/>
  <c r="D225" i="25"/>
  <c r="D391" i="25"/>
  <c r="D339" i="25"/>
  <c r="D237" i="25"/>
  <c r="D281" i="25"/>
  <c r="D319" i="25"/>
  <c r="D226" i="25"/>
  <c r="D241" i="25"/>
  <c r="D343" i="25"/>
  <c r="D215" i="25"/>
  <c r="D292" i="25"/>
  <c r="D372" i="25"/>
  <c r="D477" i="25"/>
  <c r="D219" i="25"/>
  <c r="D431" i="25"/>
  <c r="D296" i="25"/>
  <c r="D444" i="25"/>
  <c r="D379" i="25"/>
  <c r="D285" i="25"/>
  <c r="D269" i="25"/>
  <c r="D355" i="25"/>
  <c r="D353" i="25"/>
  <c r="D299" i="25"/>
  <c r="D374" i="25"/>
  <c r="D433" i="25"/>
  <c r="D330" i="25"/>
  <c r="D425" i="25"/>
  <c r="D399" i="25"/>
  <c r="D420" i="25"/>
  <c r="D218" i="25"/>
  <c r="D438" i="25"/>
  <c r="D209" i="25"/>
  <c r="D326" i="25"/>
  <c r="D419" i="25"/>
  <c r="D469" i="25"/>
  <c r="D234" i="25"/>
  <c r="D274" i="25"/>
  <c r="D440" i="25"/>
  <c r="D361" i="25"/>
  <c r="D346" i="25"/>
  <c r="D277" i="25"/>
  <c r="D348" i="25"/>
  <c r="D462" i="25"/>
  <c r="D258" i="25"/>
  <c r="D257" i="25"/>
  <c r="D472" i="25"/>
  <c r="D263" i="25"/>
  <c r="D244" i="25"/>
  <c r="D264" i="25"/>
  <c r="D386" i="25"/>
  <c r="D434" i="25"/>
  <c r="D306" i="25"/>
  <c r="D340" i="25"/>
  <c r="D405" i="25"/>
  <c r="D333" i="25"/>
  <c r="D332" i="25"/>
  <c r="D259" i="25"/>
  <c r="D426" i="25"/>
  <c r="D356" i="25"/>
  <c r="D392" i="25"/>
  <c r="D409" i="25"/>
  <c r="D205" i="25"/>
  <c r="D267" i="25"/>
  <c r="D393" i="25"/>
  <c r="D206" i="25"/>
  <c r="D351" i="25"/>
  <c r="D310" i="25"/>
  <c r="D273" i="25"/>
  <c r="D279" i="25"/>
  <c r="D478" i="25"/>
  <c r="D294" i="25"/>
  <c r="D463" i="25"/>
  <c r="D436" i="25"/>
  <c r="D235" i="25"/>
  <c r="D406" i="25"/>
  <c r="D416" i="25"/>
  <c r="D309" i="25"/>
  <c r="D470" i="25"/>
  <c r="D411" i="25"/>
  <c r="D250" i="25"/>
  <c r="D304" i="25"/>
  <c r="D265" i="25"/>
  <c r="D449" i="25"/>
  <c r="D347" i="25"/>
  <c r="D324" i="25"/>
  <c r="D246" i="25"/>
  <c r="D481" i="25"/>
  <c r="D471" i="25"/>
  <c r="D311" i="25"/>
  <c r="D432" i="25"/>
  <c r="D345" i="25"/>
  <c r="D375" i="25"/>
  <c r="D360" i="25"/>
  <c r="D394" i="25"/>
  <c r="D248" i="25"/>
  <c r="D334" i="25"/>
  <c r="D396" i="25"/>
  <c r="D320" i="25"/>
  <c r="D126" i="25"/>
  <c r="D352" i="25"/>
  <c r="D342" i="25"/>
  <c r="D307" i="25"/>
  <c r="D381" i="25"/>
  <c r="D349" i="25"/>
  <c r="D266" i="25"/>
  <c r="D452" i="25"/>
  <c r="D459" i="25"/>
  <c r="D302" i="25"/>
  <c r="D232" i="25"/>
  <c r="D354" i="25"/>
  <c r="D400" i="25"/>
  <c r="D298" i="25"/>
  <c r="D216" i="25"/>
  <c r="D378" i="25"/>
  <c r="D397" i="25"/>
  <c r="D465" i="25"/>
  <c r="D435" i="25"/>
  <c r="D271" i="25"/>
  <c r="D388" i="25"/>
  <c r="D322" i="25"/>
  <c r="D223" i="25"/>
  <c r="D220" i="25"/>
  <c r="D380" i="25"/>
  <c r="D337" i="25"/>
  <c r="D468" i="25"/>
  <c r="D366" i="25"/>
  <c r="D275" i="25"/>
  <c r="D344" i="25"/>
  <c r="D231" i="25"/>
  <c r="D222" i="25"/>
  <c r="D336" i="25"/>
  <c r="D214" i="25"/>
  <c r="D467" i="25"/>
  <c r="D451" i="25"/>
  <c r="D260" i="25"/>
  <c r="D325" i="25"/>
  <c r="D242" i="25"/>
  <c r="D385" i="25"/>
  <c r="D445" i="25"/>
  <c r="D212" i="25"/>
  <c r="D240" i="25"/>
  <c r="D284" i="25"/>
  <c r="D395" i="25"/>
  <c r="D262" i="25"/>
  <c r="D367" i="25"/>
  <c r="D422" i="25"/>
  <c r="D429" i="25"/>
  <c r="D358" i="25"/>
  <c r="D414" i="25"/>
  <c r="D428" i="25"/>
  <c r="D282" i="25"/>
  <c r="D313" i="25"/>
  <c r="D341" i="25"/>
  <c r="D384" i="25"/>
  <c r="D454" i="25"/>
  <c r="D228" i="25"/>
  <c r="D288" i="25"/>
  <c r="D439" i="25"/>
  <c r="D441" i="25"/>
  <c r="D398" i="25"/>
  <c r="D359" i="25"/>
  <c r="D421" i="25"/>
  <c r="D376" i="25"/>
  <c r="D390" i="25"/>
  <c r="D473" i="25"/>
  <c r="D423" i="25"/>
  <c r="D365" i="25"/>
  <c r="D308" i="25"/>
  <c r="D4" i="25"/>
  <c r="D5" i="25"/>
  <c r="D480" i="25"/>
  <c r="D450" i="25"/>
  <c r="D475" i="25"/>
  <c r="D134" i="25"/>
  <c r="D283" i="25"/>
  <c r="D96" i="25"/>
  <c r="D24" i="25"/>
  <c r="D59" i="25"/>
  <c r="D14" i="25"/>
  <c r="D178" i="25"/>
  <c r="D137" i="25"/>
  <c r="D32" i="25"/>
  <c r="D71" i="25"/>
  <c r="D76" i="25"/>
  <c r="D6" i="25"/>
  <c r="D169" i="25"/>
  <c r="D149" i="25"/>
  <c r="D65" i="25"/>
  <c r="D99" i="25"/>
  <c r="D175" i="25"/>
  <c r="D104" i="25"/>
  <c r="D128" i="25"/>
  <c r="D109" i="25"/>
  <c r="D60" i="25"/>
  <c r="D156" i="25"/>
  <c r="D171" i="25"/>
  <c r="D183" i="25"/>
  <c r="D148" i="25"/>
  <c r="D135" i="25"/>
  <c r="D47" i="25"/>
  <c r="D46" i="25"/>
  <c r="D114" i="25"/>
  <c r="D140" i="25"/>
  <c r="D82" i="25"/>
  <c r="D84" i="25"/>
  <c r="D121" i="25"/>
  <c r="D170" i="25"/>
  <c r="D144" i="25"/>
  <c r="D61" i="25"/>
  <c r="D165" i="25"/>
  <c r="D91" i="25"/>
  <c r="D68" i="25"/>
  <c r="D36" i="25"/>
  <c r="D174" i="25"/>
  <c r="D29" i="25"/>
  <c r="D122" i="25"/>
  <c r="D110" i="25"/>
  <c r="D125" i="25"/>
  <c r="D15" i="25"/>
  <c r="D107" i="25"/>
  <c r="D101" i="25"/>
  <c r="D54" i="25"/>
  <c r="D100" i="25"/>
  <c r="D64" i="25"/>
  <c r="D38" i="25"/>
  <c r="D162" i="25"/>
  <c r="D204" i="25"/>
  <c r="D190" i="25"/>
  <c r="D193" i="25"/>
  <c r="D92" i="25"/>
  <c r="D93" i="25"/>
  <c r="D118" i="25"/>
  <c r="D17" i="25"/>
  <c r="D34" i="25"/>
  <c r="D203" i="25"/>
  <c r="D26" i="25"/>
  <c r="D79" i="25"/>
  <c r="D191" i="25"/>
  <c r="D173" i="25"/>
  <c r="D30" i="25"/>
  <c r="D197" i="25"/>
  <c r="D159" i="25"/>
  <c r="D103" i="25"/>
  <c r="D69" i="25"/>
  <c r="D161" i="25"/>
  <c r="D21" i="25"/>
  <c r="D75" i="25"/>
  <c r="D78" i="25"/>
  <c r="D113" i="25"/>
  <c r="D123" i="25"/>
  <c r="D119" i="25"/>
  <c r="D86" i="25"/>
  <c r="D166" i="25"/>
  <c r="D22" i="25"/>
  <c r="D87" i="25"/>
  <c r="D81" i="25"/>
  <c r="D70" i="25"/>
  <c r="D199" i="25"/>
  <c r="D158" i="25"/>
  <c r="D151" i="25"/>
  <c r="D19" i="25"/>
  <c r="D152" i="25"/>
  <c r="D27" i="25"/>
  <c r="D142" i="25"/>
  <c r="D184" i="25"/>
  <c r="D56" i="25"/>
  <c r="D50" i="25"/>
  <c r="D182" i="25"/>
  <c r="D98" i="25"/>
  <c r="D192" i="25"/>
  <c r="D35" i="25"/>
  <c r="D85" i="25"/>
  <c r="D111" i="25"/>
  <c r="D200" i="25"/>
  <c r="D83" i="25"/>
  <c r="D172" i="25"/>
  <c r="D51" i="25"/>
  <c r="D196" i="25"/>
  <c r="D88" i="25"/>
  <c r="D9" i="25"/>
  <c r="D164" i="25"/>
  <c r="D8" i="25"/>
  <c r="D146" i="25"/>
  <c r="D95" i="25"/>
  <c r="D157" i="25"/>
  <c r="D181" i="25"/>
  <c r="D195" i="25"/>
  <c r="D12" i="25"/>
  <c r="D150" i="25"/>
  <c r="D73" i="25"/>
  <c r="D44" i="25"/>
  <c r="D45" i="25"/>
  <c r="D108" i="25"/>
  <c r="D188" i="25"/>
  <c r="D133" i="25"/>
  <c r="D31" i="25"/>
  <c r="D139" i="25"/>
  <c r="D202" i="25"/>
  <c r="D168" i="25"/>
  <c r="D136" i="25"/>
  <c r="D180" i="25"/>
  <c r="D124" i="25"/>
  <c r="D155" i="25"/>
  <c r="D16" i="25"/>
  <c r="D176" i="25"/>
  <c r="D167" i="25"/>
  <c r="D177" i="25"/>
  <c r="D55" i="25"/>
  <c r="D49" i="25"/>
  <c r="D94" i="25"/>
  <c r="D48" i="25"/>
  <c r="D106" i="25"/>
  <c r="D43" i="25"/>
  <c r="D77" i="25"/>
  <c r="D72" i="25"/>
  <c r="D90" i="25"/>
  <c r="D66" i="25"/>
  <c r="D138" i="25"/>
  <c r="D13" i="25"/>
  <c r="D18" i="25"/>
  <c r="D67" i="25"/>
  <c r="D40" i="25"/>
  <c r="D154" i="25"/>
  <c r="D63" i="25"/>
  <c r="D194" i="25"/>
  <c r="D52" i="25"/>
  <c r="D58" i="25"/>
  <c r="D41" i="25"/>
  <c r="D120" i="25"/>
  <c r="D117" i="25"/>
  <c r="D39" i="25"/>
  <c r="D187" i="25"/>
  <c r="D10" i="25"/>
  <c r="D105" i="25"/>
  <c r="D160" i="25"/>
  <c r="D11" i="25"/>
  <c r="D198" i="25"/>
  <c r="D57" i="25"/>
  <c r="D163" i="25"/>
  <c r="D153" i="25"/>
  <c r="D80" i="25"/>
  <c r="D23" i="25"/>
  <c r="D143" i="25"/>
  <c r="D89" i="25"/>
  <c r="D179" i="25"/>
  <c r="D130" i="25"/>
  <c r="D201" i="25"/>
  <c r="D112" i="25"/>
  <c r="D25" i="25"/>
  <c r="D74" i="25"/>
  <c r="D20" i="25"/>
  <c r="D189" i="25"/>
  <c r="D102" i="25"/>
  <c r="D33" i="25"/>
  <c r="D147" i="25"/>
  <c r="D127" i="25"/>
  <c r="D186" i="25"/>
  <c r="D115" i="25"/>
  <c r="D7" i="25"/>
  <c r="D28" i="25"/>
  <c r="D131" i="25"/>
  <c r="D116" i="25"/>
  <c r="D141" i="25"/>
  <c r="D132" i="25"/>
  <c r="D129" i="25"/>
  <c r="D62" i="25"/>
  <c r="D97" i="25"/>
  <c r="D145" i="25"/>
  <c r="D37" i="25"/>
  <c r="C1" i="21"/>
  <c r="D370" i="25" l="1"/>
  <c r="D261" i="25"/>
  <c r="D387" i="25"/>
  <c r="D328" i="25"/>
  <c r="D53" i="25"/>
  <c r="D335" i="25"/>
  <c r="D213" i="25"/>
  <c r="D321" i="25"/>
  <c r="D42" i="25"/>
  <c r="D382" i="25"/>
  <c r="D224" i="25"/>
  <c r="D300" i="25"/>
  <c r="D210" i="25"/>
  <c r="D293" i="25"/>
  <c r="D217" i="25"/>
  <c r="D233" i="25"/>
  <c r="D278" i="25"/>
  <c r="D252" i="25"/>
  <c r="D371" i="25"/>
  <c r="D329" i="25"/>
  <c r="D276" i="25"/>
  <c r="D364" i="25"/>
  <c r="D253" i="25"/>
  <c r="D287" i="25"/>
  <c r="D418" i="25"/>
  <c r="D383" i="25"/>
  <c r="D437" i="25"/>
  <c r="D255" i="25"/>
  <c r="D413" i="25"/>
  <c r="D362" i="25"/>
  <c r="D301" i="25"/>
  <c r="D338" i="25"/>
  <c r="D430" i="25"/>
  <c r="D424" i="25"/>
  <c r="D230" i="25"/>
  <c r="D238" i="25"/>
  <c r="D427" i="25"/>
  <c r="D290" i="25"/>
  <c r="D363" i="25"/>
  <c r="D286" i="25"/>
  <c r="D317" i="25"/>
  <c r="D401" i="25"/>
  <c r="D236" i="25"/>
  <c r="D331" i="25"/>
  <c r="D315" i="25"/>
  <c r="D407" i="25"/>
  <c r="D373" i="25"/>
  <c r="D312" i="25"/>
  <c r="D389" i="25"/>
  <c r="D297" i="25"/>
  <c r="D410" i="25"/>
  <c r="D415" i="25"/>
  <c r="D316" i="25"/>
  <c r="D291" i="25"/>
  <c r="D256" i="25"/>
  <c r="D227" i="25"/>
  <c r="D350" i="25"/>
  <c r="D289" i="25"/>
  <c r="D318" i="25"/>
  <c r="D404" i="25"/>
  <c r="D417" i="25"/>
  <c r="D305" i="25"/>
  <c r="D408" i="25"/>
  <c r="D377" i="25"/>
  <c r="D280" i="25"/>
  <c r="D243" i="25"/>
  <c r="D211" i="25"/>
  <c r="D245" i="25"/>
  <c r="D254" i="25"/>
  <c r="D403" i="25"/>
  <c r="D303" i="25"/>
  <c r="D270" i="25"/>
  <c r="D369" i="25"/>
  <c r="D295" i="25"/>
  <c r="D185" i="25"/>
  <c r="D474" i="25"/>
  <c r="D442" i="25"/>
  <c r="D455" i="25"/>
  <c r="D453" i="25"/>
  <c r="D457" i="25"/>
  <c r="D446" i="25"/>
  <c r="D456" i="25"/>
  <c r="D466" i="25"/>
  <c r="D476" i="25"/>
  <c r="D458" i="25"/>
  <c r="D461" i="25"/>
  <c r="B1" i="21"/>
  <c r="D1205" i="7" l="1"/>
  <c r="D1206" i="7"/>
  <c r="D1207" i="7"/>
  <c r="D1208" i="7"/>
  <c r="D1209" i="7"/>
  <c r="D1210" i="7"/>
  <c r="D1212" i="7"/>
  <c r="D1213" i="7"/>
  <c r="D1214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5" i="7"/>
  <c r="D1236" i="7"/>
  <c r="D1237" i="7"/>
  <c r="D1238" i="7"/>
  <c r="D1239" i="7"/>
  <c r="D1240" i="7"/>
  <c r="D1241" i="7"/>
  <c r="D1242" i="7"/>
  <c r="D1243" i="7"/>
  <c r="D1244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5" i="7"/>
  <c r="D1276" i="7"/>
  <c r="D1277" i="7"/>
  <c r="D1278" i="7"/>
  <c r="D1279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3" i="25" l="1"/>
</calcChain>
</file>

<file path=xl/sharedStrings.xml><?xml version="1.0" encoding="utf-8"?>
<sst xmlns="http://schemas.openxmlformats.org/spreadsheetml/2006/main" count="120" uniqueCount="51">
  <si>
    <t>Manager</t>
  </si>
  <si>
    <t>All_managers</t>
  </si>
  <si>
    <t>Bailey_Cantrell</t>
  </si>
  <si>
    <t>Maximillian_Mahoney</t>
  </si>
  <si>
    <t>Kobi_Huffman</t>
  </si>
  <si>
    <t>Theodore_Kim</t>
  </si>
  <si>
    <t>QuickBox</t>
  </si>
  <si>
    <t>Porter</t>
  </si>
  <si>
    <t>17MAX</t>
  </si>
  <si>
    <t>WB</t>
  </si>
  <si>
    <t>Silver1</t>
  </si>
  <si>
    <t>Express</t>
  </si>
  <si>
    <t>POTY</t>
  </si>
  <si>
    <t>MATHLog</t>
  </si>
  <si>
    <t>EcommPY</t>
  </si>
  <si>
    <t>WOODTECH</t>
  </si>
  <si>
    <t>All_groups</t>
  </si>
  <si>
    <t>TIMEWATCH</t>
  </si>
  <si>
    <t>Find N2 Flip</t>
  </si>
  <si>
    <t>Reno 11F</t>
  </si>
  <si>
    <t>N2 Flip</t>
  </si>
  <si>
    <t>Reno GP</t>
  </si>
  <si>
    <t>Reno A</t>
  </si>
  <si>
    <t>Reno 18</t>
  </si>
  <si>
    <t>Groups</t>
  </si>
  <si>
    <t>Chrono AF14</t>
  </si>
  <si>
    <t>CH ST</t>
  </si>
  <si>
    <t>Chrono DIG</t>
  </si>
  <si>
    <t>17A</t>
  </si>
  <si>
    <t>name</t>
  </si>
  <si>
    <t>filter</t>
  </si>
  <si>
    <t>group</t>
  </si>
  <si>
    <t>check</t>
  </si>
  <si>
    <t>price</t>
  </si>
  <si>
    <t>all</t>
  </si>
  <si>
    <t>Distribution company</t>
  </si>
  <si>
    <t>Date_order</t>
  </si>
  <si>
    <t>Group</t>
  </si>
  <si>
    <t>Discount</t>
  </si>
  <si>
    <t>price 01/01/01</t>
  </si>
  <si>
    <t>Price</t>
  </si>
  <si>
    <t>Client/Distr</t>
  </si>
  <si>
    <t>Products/Search</t>
  </si>
  <si>
    <t>1. Select Manager</t>
  </si>
  <si>
    <t>2. Select Client</t>
  </si>
  <si>
    <t>3. Select Product</t>
  </si>
  <si>
    <t>Final Price</t>
  </si>
  <si>
    <t>All_managers will show you list of clients</t>
  </si>
  <si>
    <t>Choose a product group to filter the list</t>
  </si>
  <si>
    <t>Or type the product name in the search field</t>
  </si>
  <si>
    <t>4. Enter Quantity (Discount)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</si>
</sst>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&quot;р.&quot;_-;\-* #,##0.00&quot;р.&quot;_-;_-* \-??&quot;р.&quot;_-;_-@_-"/>
    <numFmt numFmtId="165" formatCode="_-* #,##0.00&quot;р.&quot;_-;\-* #,##0.00&quot;р.&quot;_-;_-* &quot;-&quot;??&quot;р.&quot;_-;_-@_-"/>
    <numFmt numFmtId="166" formatCode="_-* #,##0.00_р_._-;\-* #,##0.00_р_._-;_-* \-??_р_._-;_-@_-"/>
    <numFmt numFmtId="167" formatCode="_-* #,##0.00_р_._-;\-* #,##0.00_р_._-;_-* &quot;-&quot;??_р_._-;_-@_-"/>
    <numFmt numFmtId="168" formatCode="0.0%"/>
    <numFmt numFmtId="169" formatCode="0.00&quot; Руб&quot;"/>
    <numFmt numFmtId="170" formatCode="_-[$$-1009]* #,##0.00_-;\-[$$-1009]* #,##0.00_-;_-[$$-1009]* &quot;-&quot;??_-;_-@_-"/>
  </numFmts>
  <fonts count="36" x14ac:knownFonts="1">
    <font>
      <sz val="8"/>
      <color theme="1"/>
      <name val="Arial"/>
    </font>
    <font>
      <sz val="11"/>
      <color indexed="64"/>
      <name val="Calibri"/>
      <family val="2"/>
      <charset val="204"/>
    </font>
    <font>
      <sz val="10"/>
      <name val="Arial Cyr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8"/>
      <color theme="1"/>
      <name val="Arial"/>
      <family val="2"/>
      <charset val="204"/>
    </font>
    <font>
      <b/>
      <sz val="9"/>
      <name val="Arial"/>
      <family val="2"/>
      <charset val="204"/>
    </font>
    <font>
      <b/>
      <i/>
      <sz val="9"/>
      <name val="Arial"/>
      <family val="2"/>
      <charset val="204"/>
    </font>
    <font>
      <i/>
      <sz val="9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1"/>
      <color theme="0"/>
      <name val="Times New Roman"/>
      <family val="1"/>
      <charset val="204"/>
    </font>
    <font>
      <b/>
      <sz val="9"/>
      <color theme="1"/>
      <name val="Arial"/>
      <family val="2"/>
      <charset val="204"/>
    </font>
    <font>
      <sz val="11"/>
      <name val="Times New Roman"/>
      <family val="1"/>
      <charset val="204"/>
    </font>
    <font>
      <b/>
      <sz val="10"/>
      <color theme="0" tint="-0.1499984740745262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name val="Times New Roman"/>
      <family val="1"/>
      <charset val="204"/>
    </font>
    <font>
      <sz val="8"/>
      <color indexed="8"/>
      <name val="Arial"/>
      <family val="2"/>
    </font>
    <font>
      <b/>
      <sz val="8"/>
      <color indexed="24"/>
      <name val="Arial"/>
      <family val="2"/>
    </font>
    <font>
      <sz val="9"/>
      <name val="Arial"/>
      <family val="2"/>
      <charset val="204"/>
    </font>
    <font>
      <b/>
      <sz val="11"/>
      <color theme="1"/>
      <name val="Times New Roman"/>
      <family val="1"/>
      <charset val="204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1" fillId="0" borderId="0"/>
    <xf numFmtId="164" fontId="1" fillId="0" borderId="0"/>
    <xf numFmtId="165" fontId="1" fillId="0" borderId="0" applyFont="0" applyFill="0" applyBorder="0"/>
    <xf numFmtId="0" fontId="2" fillId="0" borderId="0"/>
    <xf numFmtId="0" fontId="2" fillId="0" borderId="0"/>
    <xf numFmtId="0" fontId="3" fillId="0" borderId="0"/>
    <xf numFmtId="0" fontId="4" fillId="0" borderId="0"/>
    <xf numFmtId="9" fontId="1" fillId="0" borderId="0"/>
    <xf numFmtId="9" fontId="1" fillId="0" borderId="0" applyFont="0" applyFill="0" applyBorder="0"/>
    <xf numFmtId="166" fontId="1" fillId="0" borderId="0"/>
    <xf numFmtId="167" fontId="1" fillId="0" borderId="0" applyFont="0" applyFill="0" applyBorder="0"/>
    <xf numFmtId="0" fontId="7" fillId="0" borderId="0"/>
    <xf numFmtId="9" fontId="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</cellStyleXfs>
  <cellXfs count="97">
    <xf numFmtId="0" fontId="0" fillId="0" borderId="0" xfId="0"/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4" fontId="12" fillId="3" borderId="0" xfId="0" applyNumberFormat="1" applyFont="1" applyFill="1"/>
    <xf numFmtId="4" fontId="0" fillId="0" borderId="0" xfId="0" applyNumberFormat="1" applyAlignment="1">
      <alignment horizontal="center"/>
    </xf>
    <xf numFmtId="0" fontId="6" fillId="0" borderId="0" xfId="0" applyFont="1"/>
    <xf numFmtId="0" fontId="12" fillId="0" borderId="0" xfId="0" applyFont="1"/>
    <xf numFmtId="0" fontId="16" fillId="0" borderId="0" xfId="0" applyNumberFormat="1" applyFont="1" applyFill="1" applyAlignment="1" applyProtection="1"/>
    <xf numFmtId="0" fontId="19" fillId="0" borderId="0" xfId="0" applyFont="1"/>
    <xf numFmtId="169" fontId="17" fillId="4" borderId="0" xfId="14" applyNumberFormat="1" applyFont="1" applyFill="1" applyBorder="1" applyAlignment="1">
      <alignment horizontal="right" vertical="top" wrapText="1"/>
    </xf>
    <xf numFmtId="0" fontId="0" fillId="0" borderId="2" xfId="0" applyBorder="1"/>
    <xf numFmtId="0" fontId="0" fillId="0" borderId="0" xfId="0" applyAlignment="1"/>
    <xf numFmtId="0" fontId="0" fillId="0" borderId="0" xfId="0" applyAlignment="1">
      <alignment wrapText="1"/>
    </xf>
    <xf numFmtId="0" fontId="27" fillId="4" borderId="1" xfId="15" applyNumberFormat="1" applyFont="1" applyFill="1" applyBorder="1" applyAlignment="1">
      <alignment vertical="top" wrapText="1"/>
    </xf>
    <xf numFmtId="0" fontId="17" fillId="0" borderId="0" xfId="15" applyAlignment="1">
      <alignment wrapText="1"/>
    </xf>
    <xf numFmtId="0" fontId="28" fillId="5" borderId="1" xfId="15" applyNumberFormat="1" applyFont="1" applyFill="1" applyBorder="1" applyAlignment="1">
      <alignment horizontal="left" vertical="top" wrapText="1"/>
    </xf>
    <xf numFmtId="0" fontId="8" fillId="0" borderId="2" xfId="12" applyFont="1" applyFill="1" applyBorder="1" applyAlignment="1" applyProtection="1">
      <alignment horizontal="center" wrapText="1"/>
      <protection locked="0"/>
    </xf>
    <xf numFmtId="0" fontId="9" fillId="0" borderId="3" xfId="12" applyFont="1" applyFill="1" applyBorder="1" applyAlignment="1" applyProtection="1">
      <alignment wrapText="1"/>
      <protection locked="0"/>
    </xf>
    <xf numFmtId="0" fontId="18" fillId="0" borderId="3" xfId="12" applyFont="1" applyFill="1" applyBorder="1" applyAlignment="1" applyProtection="1">
      <alignment wrapText="1"/>
      <protection locked="0"/>
    </xf>
    <xf numFmtId="0" fontId="20" fillId="0" borderId="3" xfId="12" applyFont="1" applyFill="1" applyBorder="1" applyAlignment="1" applyProtection="1">
      <alignment wrapText="1"/>
      <protection locked="0"/>
    </xf>
    <xf numFmtId="0" fontId="25" fillId="0" borderId="2" xfId="12" applyFont="1" applyFill="1" applyBorder="1" applyAlignment="1" applyProtection="1">
      <alignment wrapText="1"/>
      <protection locked="0"/>
    </xf>
    <xf numFmtId="0" fontId="26" fillId="0" borderId="2" xfId="12" applyFont="1" applyFill="1" applyBorder="1" applyAlignment="1" applyProtection="1">
      <alignment wrapText="1"/>
      <protection locked="0"/>
    </xf>
    <xf numFmtId="0" fontId="22" fillId="0" borderId="2" xfId="12" applyFont="1" applyFill="1" applyBorder="1" applyAlignment="1" applyProtection="1">
      <alignment wrapText="1"/>
      <protection locked="0"/>
    </xf>
    <xf numFmtId="0" fontId="24" fillId="2" borderId="2" xfId="12" applyFont="1" applyFill="1" applyBorder="1" applyAlignment="1" applyProtection="1">
      <alignment wrapText="1"/>
      <protection locked="0"/>
    </xf>
    <xf numFmtId="0" fontId="9" fillId="0" borderId="3" xfId="12" applyFont="1" applyFill="1" applyBorder="1" applyAlignment="1" applyProtection="1">
      <protection locked="0"/>
    </xf>
    <xf numFmtId="0" fontId="9" fillId="0" borderId="2" xfId="12" applyFont="1" applyFill="1" applyBorder="1" applyAlignment="1" applyProtection="1">
      <protection locked="0"/>
    </xf>
    <xf numFmtId="0" fontId="18" fillId="0" borderId="3" xfId="12" applyFont="1" applyFill="1" applyBorder="1" applyAlignment="1" applyProtection="1">
      <protection locked="0"/>
    </xf>
    <xf numFmtId="0" fontId="20" fillId="0" borderId="3" xfId="12" applyFont="1" applyFill="1" applyBorder="1" applyAlignment="1" applyProtection="1">
      <protection locked="0"/>
    </xf>
    <xf numFmtId="0" fontId="5" fillId="0" borderId="1" xfId="0" applyFont="1" applyFill="1" applyBorder="1" applyAlignment="1" applyProtection="1">
      <alignment vertical="top"/>
      <protection locked="0"/>
    </xf>
    <xf numFmtId="0" fontId="20" fillId="0" borderId="2" xfId="12" applyFont="1" applyFill="1" applyBorder="1" applyAlignment="1" applyProtection="1">
      <protection locked="0"/>
    </xf>
    <xf numFmtId="0" fontId="18" fillId="0" borderId="2" xfId="12" applyFont="1" applyFill="1" applyBorder="1" applyAlignment="1" applyProtection="1">
      <protection locked="0"/>
    </xf>
    <xf numFmtId="0" fontId="11" fillId="0" borderId="2" xfId="12" applyFont="1" applyFill="1" applyBorder="1" applyAlignment="1" applyProtection="1">
      <protection locked="0"/>
    </xf>
    <xf numFmtId="0" fontId="27" fillId="0" borderId="4" xfId="16" applyNumberFormat="1" applyFont="1" applyFill="1" applyBorder="1" applyAlignment="1" applyProtection="1">
      <alignment vertical="top" wrapText="1"/>
      <protection locked="0"/>
    </xf>
    <xf numFmtId="0" fontId="20" fillId="0" borderId="3" xfId="12" applyFont="1" applyFill="1" applyBorder="1" applyAlignment="1"/>
    <xf numFmtId="0" fontId="22" fillId="3" borderId="2" xfId="12" applyFont="1" applyFill="1" applyBorder="1" applyAlignment="1" applyProtection="1">
      <alignment wrapText="1"/>
      <protection locked="0"/>
    </xf>
    <xf numFmtId="0" fontId="20" fillId="0" borderId="2" xfId="12" applyFont="1" applyFill="1" applyBorder="1" applyAlignment="1"/>
    <xf numFmtId="0" fontId="28" fillId="5" borderId="1" xfId="15" applyNumberFormat="1" applyFont="1" applyFill="1" applyBorder="1" applyAlignment="1">
      <alignment horizontal="left" vertical="top"/>
    </xf>
    <xf numFmtId="0" fontId="27" fillId="4" borderId="1" xfId="15" applyNumberFormat="1" applyFont="1" applyFill="1" applyBorder="1" applyAlignment="1">
      <alignment vertical="top"/>
    </xf>
    <xf numFmtId="0" fontId="12" fillId="0" borderId="0" xfId="0" applyFont="1" applyAlignment="1"/>
    <xf numFmtId="0" fontId="27" fillId="4" borderId="4" xfId="14" applyNumberFormat="1" applyFont="1" applyFill="1" applyBorder="1" applyAlignment="1">
      <alignment vertical="top"/>
    </xf>
    <xf numFmtId="0" fontId="27" fillId="4" borderId="4" xfId="18" applyNumberFormat="1" applyFont="1" applyFill="1" applyBorder="1" applyAlignment="1">
      <alignment vertical="top"/>
    </xf>
    <xf numFmtId="0" fontId="0" fillId="6" borderId="0" xfId="0" applyFill="1" applyAlignment="1"/>
    <xf numFmtId="0" fontId="17" fillId="0" borderId="0" xfId="15" applyAlignment="1"/>
    <xf numFmtId="0" fontId="0" fillId="7" borderId="0" xfId="0" applyFill="1" applyBorder="1" applyAlignment="1">
      <alignment horizontal="left" vertical="top" wrapText="1"/>
    </xf>
    <xf numFmtId="0" fontId="27" fillId="4" borderId="0" xfId="17" applyNumberFormat="1" applyFont="1" applyFill="1" applyBorder="1" applyAlignment="1">
      <alignment vertical="top"/>
    </xf>
    <xf numFmtId="0" fontId="0" fillId="0" borderId="4" xfId="0" applyBorder="1"/>
    <xf numFmtId="0" fontId="27" fillId="4" borderId="0" xfId="15" applyNumberFormat="1" applyFont="1" applyFill="1" applyBorder="1" applyAlignment="1">
      <alignment vertical="top"/>
    </xf>
    <xf numFmtId="0" fontId="0" fillId="0" borderId="1" xfId="0" applyBorder="1"/>
    <xf numFmtId="0" fontId="12" fillId="0" borderId="0" xfId="0" applyFont="1" applyBorder="1" applyAlignment="1"/>
    <xf numFmtId="0" fontId="0" fillId="0" borderId="0" xfId="0" applyBorder="1"/>
    <xf numFmtId="0" fontId="0" fillId="0" borderId="0" xfId="0" applyFont="1" applyAlignment="1">
      <alignment horizontal="left"/>
    </xf>
    <xf numFmtId="0" fontId="12" fillId="0" borderId="0" xfId="0" applyFont="1" applyBorder="1"/>
    <xf numFmtId="0" fontId="0" fillId="3" borderId="0" xfId="0" applyFill="1" applyAlignment="1"/>
    <xf numFmtId="0" fontId="0" fillId="3" borderId="0" xfId="0" applyFill="1" applyAlignment="1">
      <alignment horizontal="left"/>
    </xf>
    <xf numFmtId="4" fontId="0" fillId="3" borderId="0" xfId="0" applyNumberFormat="1" applyFill="1" applyAlignment="1">
      <alignment horizontal="center"/>
    </xf>
    <xf numFmtId="0" fontId="12" fillId="0" borderId="5" xfId="0" applyFont="1" applyBorder="1"/>
    <xf numFmtId="0" fontId="12" fillId="0" borderId="0" xfId="0" applyFont="1" applyAlignment="1">
      <alignment horizontal="left"/>
    </xf>
    <xf numFmtId="0" fontId="0" fillId="0" borderId="0" xfId="0" applyFill="1" applyBorder="1" applyAlignment="1">
      <alignment horizontal="left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/>
    </xf>
    <xf numFmtId="0" fontId="29" fillId="0" borderId="0" xfId="0" applyFont="1" applyFill="1" applyBorder="1" applyAlignment="1">
      <alignment horizontal="left" vertical="top" wrapText="1"/>
    </xf>
    <xf numFmtId="170" fontId="0" fillId="0" borderId="0" xfId="0" applyNumberFormat="1" applyFill="1" applyBorder="1" applyAlignment="1">
      <alignment horizontal="right" vertical="top" wrapText="1"/>
    </xf>
    <xf numFmtId="0" fontId="22" fillId="8" borderId="3" xfId="0" applyFont="1" applyFill="1" applyBorder="1" applyAlignment="1" applyProtection="1">
      <alignment horizontal="left" vertical="center" wrapText="1"/>
      <protection locked="0"/>
    </xf>
    <xf numFmtId="0" fontId="8" fillId="9" borderId="2" xfId="12" applyFont="1" applyFill="1" applyBorder="1" applyAlignment="1" applyProtection="1">
      <alignment horizontal="left" vertical="center" wrapText="1"/>
      <protection locked="0"/>
    </xf>
    <xf numFmtId="0" fontId="8" fillId="9" borderId="2" xfId="12" applyFont="1" applyFill="1" applyBorder="1" applyAlignment="1" applyProtection="1">
      <alignment horizontal="center" vertical="center" wrapText="1"/>
      <protection locked="0"/>
    </xf>
    <xf numFmtId="0" fontId="21" fillId="9" borderId="2" xfId="12" applyFont="1" applyFill="1" applyBorder="1" applyAlignment="1" applyProtection="1">
      <alignment horizontal="left" vertical="center" wrapText="1"/>
      <protection locked="0"/>
    </xf>
    <xf numFmtId="0" fontId="23" fillId="9" borderId="2" xfId="12" applyFont="1" applyFill="1" applyBorder="1" applyAlignment="1" applyProtection="1">
      <alignment horizontal="center" vertical="center" wrapText="1"/>
      <protection locked="0"/>
    </xf>
    <xf numFmtId="0" fontId="8" fillId="10" borderId="3" xfId="0" applyFont="1" applyFill="1" applyBorder="1" applyAlignment="1" applyProtection="1">
      <alignment horizontal="left" vertical="center"/>
      <protection locked="0"/>
    </xf>
    <xf numFmtId="14" fontId="10" fillId="10" borderId="3" xfId="0" applyNumberFormat="1" applyFont="1" applyFill="1" applyBorder="1" applyAlignment="1" applyProtection="1">
      <alignment horizontal="center" vertical="center"/>
      <protection locked="0"/>
    </xf>
    <xf numFmtId="14" fontId="10" fillId="10" borderId="3" xfId="0" applyNumberFormat="1" applyFont="1" applyFill="1" applyBorder="1" applyAlignment="1" applyProtection="1">
      <alignment horizontal="left" vertical="center"/>
      <protection locked="0"/>
    </xf>
    <xf numFmtId="0" fontId="10" fillId="10" borderId="3" xfId="0" applyFont="1" applyFill="1" applyBorder="1" applyAlignment="1" applyProtection="1">
      <alignment horizontal="left" vertical="center"/>
      <protection locked="0"/>
    </xf>
    <xf numFmtId="0" fontId="9" fillId="10" borderId="2" xfId="12" applyFont="1" applyFill="1" applyBorder="1" applyAlignment="1" applyProtection="1">
      <alignment horizontal="left"/>
      <protection locked="0"/>
    </xf>
    <xf numFmtId="0" fontId="9" fillId="10" borderId="2" xfId="12" applyFont="1" applyFill="1" applyBorder="1" applyAlignment="1" applyProtection="1">
      <alignment horizontal="center" vertical="center"/>
      <protection locked="0"/>
    </xf>
    <xf numFmtId="0" fontId="9" fillId="10" borderId="2" xfId="12" applyFont="1" applyFill="1" applyBorder="1" applyAlignment="1" applyProtection="1">
      <alignment horizontal="left" vertical="center"/>
      <protection locked="0"/>
    </xf>
    <xf numFmtId="0" fontId="31" fillId="9" borderId="2" xfId="12" applyFont="1" applyFill="1" applyBorder="1" applyAlignment="1" applyProtection="1">
      <alignment horizontal="left" vertical="center" wrapText="1"/>
      <protection locked="0"/>
    </xf>
    <xf numFmtId="0" fontId="8" fillId="9" borderId="2" xfId="12" applyFont="1" applyFill="1" applyBorder="1" applyAlignment="1" applyProtection="1">
      <alignment horizontal="center" wrapText="1"/>
      <protection locked="0"/>
    </xf>
    <xf numFmtId="0" fontId="9" fillId="9" borderId="3" xfId="12" applyFont="1" applyFill="1" applyBorder="1" applyAlignment="1" applyProtection="1">
      <alignment wrapText="1"/>
      <protection locked="0"/>
    </xf>
    <xf numFmtId="0" fontId="18" fillId="9" borderId="3" xfId="12" applyFont="1" applyFill="1" applyBorder="1" applyAlignment="1" applyProtection="1">
      <alignment wrapText="1"/>
      <protection locked="0"/>
    </xf>
    <xf numFmtId="0" fontId="20" fillId="9" borderId="3" xfId="12" applyFont="1" applyFill="1" applyBorder="1" applyAlignment="1" applyProtection="1">
      <alignment wrapText="1"/>
      <protection locked="0"/>
    </xf>
    <xf numFmtId="0" fontId="24" fillId="9" borderId="2" xfId="12" applyFont="1" applyFill="1" applyBorder="1" applyAlignment="1" applyProtection="1">
      <alignment wrapText="1"/>
      <protection locked="0"/>
    </xf>
    <xf numFmtId="0" fontId="25" fillId="9" borderId="2" xfId="12" applyFont="1" applyFill="1" applyBorder="1" applyAlignment="1" applyProtection="1">
      <alignment wrapText="1"/>
      <protection locked="0"/>
    </xf>
    <xf numFmtId="0" fontId="26" fillId="9" borderId="2" xfId="12" applyFont="1" applyFill="1" applyBorder="1" applyAlignment="1" applyProtection="1">
      <alignment wrapText="1"/>
      <protection locked="0"/>
    </xf>
    <xf numFmtId="0" fontId="9" fillId="10" borderId="2" xfId="12" applyFont="1" applyFill="1" applyBorder="1" applyAlignment="1" applyProtection="1">
      <protection locked="0"/>
    </xf>
    <xf numFmtId="0" fontId="33" fillId="0" borderId="0" xfId="0" applyFont="1"/>
    <xf numFmtId="0" fontId="34" fillId="0" borderId="0" xfId="0" applyFont="1"/>
    <xf numFmtId="0" fontId="35" fillId="0" borderId="0" xfId="0" applyFont="1"/>
    <xf numFmtId="170" fontId="30" fillId="10" borderId="2" xfId="0" applyNumberFormat="1" applyFont="1" applyFill="1" applyBorder="1" applyAlignment="1" applyProtection="1">
      <alignment horizontal="right" vertical="top" wrapText="1"/>
    </xf>
    <xf numFmtId="168" fontId="10" fillId="10" borderId="3" xfId="0" applyNumberFormat="1" applyFont="1" applyFill="1" applyBorder="1" applyAlignment="1" applyProtection="1">
      <alignment horizontal="center" vertical="center"/>
    </xf>
    <xf numFmtId="170" fontId="32" fillId="10" borderId="3" xfId="12" applyNumberFormat="1" applyFont="1" applyFill="1" applyBorder="1" applyAlignment="1" applyProtection="1"/>
    <xf numFmtId="0" fontId="9" fillId="10" borderId="2" xfId="12" applyFont="1" applyFill="1" applyBorder="1" applyAlignment="1" applyProtection="1">
      <alignment horizontal="center" vertical="center"/>
    </xf>
  </cellXfs>
  <cellStyles count="20">
    <cellStyle name="Excel Built-in Normal" xfId="1" xr:uid="{00000000-0005-0000-0000-000000000000}"/>
    <cellStyle name="Normal" xfId="0" builtinId="0"/>
    <cellStyle name="Денежный 2" xfId="2" xr:uid="{00000000-0005-0000-0000-000001000000}"/>
    <cellStyle name="Денежный 3" xfId="3" xr:uid="{00000000-0005-0000-0000-000002000000}"/>
    <cellStyle name="Обычный 2" xfId="4" xr:uid="{00000000-0005-0000-0000-000004000000}"/>
    <cellStyle name="Обычный 2 2" xfId="5" xr:uid="{00000000-0005-0000-0000-000005000000}"/>
    <cellStyle name="Обычный 3" xfId="6" xr:uid="{00000000-0005-0000-0000-000006000000}"/>
    <cellStyle name="Обычный 4" xfId="7" xr:uid="{00000000-0005-0000-0000-000007000000}"/>
    <cellStyle name="Обычный 5" xfId="12" xr:uid="{00000000-0005-0000-0000-000008000000}"/>
    <cellStyle name="Обычный 6" xfId="15" xr:uid="{00000000-0005-0000-0000-000009000000}"/>
    <cellStyle name="Обычный 7" xfId="19" xr:uid="{00000000-0005-0000-0000-00000A000000}"/>
    <cellStyle name="Обычный_бренд-скю" xfId="17" xr:uid="{00000000-0005-0000-0000-00000B000000}"/>
    <cellStyle name="Обычный_Лист5" xfId="18" xr:uid="{00000000-0005-0000-0000-00000C000000}"/>
    <cellStyle name="Обычный_План тма" xfId="16" xr:uid="{00000000-0005-0000-0000-00000D000000}"/>
    <cellStyle name="Обычный_справочно" xfId="14" xr:uid="{00000000-0005-0000-0000-00000E000000}"/>
    <cellStyle name="Процентный 2" xfId="8" xr:uid="{00000000-0005-0000-0000-00000F000000}"/>
    <cellStyle name="Процентный 3" xfId="9" xr:uid="{00000000-0005-0000-0000-000010000000}"/>
    <cellStyle name="Процентный 4" xfId="13" xr:uid="{00000000-0005-0000-0000-000011000000}"/>
    <cellStyle name="Финансовый 2" xfId="10" xr:uid="{00000000-0005-0000-0000-000012000000}"/>
    <cellStyle name="Финансовый 3" xfId="11" xr:uid="{00000000-0005-0000-0000-000013000000}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66675</xdr:rowOff>
    </xdr:from>
    <xdr:to>
      <xdr:col>0</xdr:col>
      <xdr:colOff>2457781</xdr:colOff>
      <xdr:row>6</xdr:row>
      <xdr:rowOff>38229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70D43F-45FD-4A17-B583-A577D5190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09550"/>
          <a:ext cx="2372056" cy="9240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104775</xdr:rowOff>
    </xdr:from>
    <xdr:to>
      <xdr:col>0</xdr:col>
      <xdr:colOff>3048425</xdr:colOff>
      <xdr:row>22</xdr:row>
      <xdr:rowOff>124147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127A6B-3F94-4268-954A-A4D72159D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3525"/>
          <a:ext cx="3048425" cy="2305372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31</xdr:row>
      <xdr:rowOff>19050</xdr:rowOff>
    </xdr:from>
    <xdr:to>
      <xdr:col>0</xdr:col>
      <xdr:colOff>2667328</xdr:colOff>
      <xdr:row>37</xdr:row>
      <xdr:rowOff>28736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99F2EC-E7DB-4A98-81AA-B644747D4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325" y="4733925"/>
          <a:ext cx="2353003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41</xdr:row>
      <xdr:rowOff>152400</xdr:rowOff>
    </xdr:from>
    <xdr:to>
      <xdr:col>3</xdr:col>
      <xdr:colOff>410246</xdr:colOff>
      <xdr:row>50</xdr:row>
      <xdr:rowOff>162166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2FFBED-E7A4-4048-8661-2A4049071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8315325"/>
          <a:ext cx="4810796" cy="172426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53</xdr:row>
      <xdr:rowOff>180975</xdr:rowOff>
    </xdr:from>
    <xdr:to>
      <xdr:col>0</xdr:col>
      <xdr:colOff>1295574</xdr:colOff>
      <xdr:row>59</xdr:row>
      <xdr:rowOff>28713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A8FF7B-61A7-4868-BA95-57E8EEF72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" y="10239375"/>
          <a:ext cx="1247949" cy="9907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Кауль Татьяна Васильевна" id="{BEE1B8E1-46F2-6E8A-6F10-38C1481C49B7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252B-E859-4619-B09D-74138A34D7C1}">
  <sheetPr codeName="Sheet1">
    <tabColor theme="5" tint="0.39997558519241921"/>
  </sheetPr>
  <dimension ref="A1:B53"/>
  <sheetViews>
    <sheetView tabSelected="1" workbookViewId="0">
      <selection activeCell="C54" sqref="C54"/>
    </sheetView>
  </sheetViews>
  <sheetFormatPr defaultRowHeight="15" x14ac:dyDescent="0.25"/>
  <cols>
    <col min="1" max="1" width="59.5" style="92" customWidth="1"/>
  </cols>
  <sheetData>
    <row r="1" spans="1:2" ht="14.25" x14ac:dyDescent="0.2">
      <c r="A1" s="91" t="s">
        <v>43</v>
      </c>
    </row>
    <row r="2" spans="1:2" s="1" customFormat="1" x14ac:dyDescent="0.25">
      <c r="A2" s="92"/>
    </row>
    <row r="3" spans="1:2" s="1" customFormat="1" x14ac:dyDescent="0.25">
      <c r="A3" s="92"/>
      <c r="B3" s="90" t="s">
        <v>47</v>
      </c>
    </row>
    <row r="4" spans="1:2" s="1" customFormat="1" x14ac:dyDescent="0.25">
      <c r="A4" s="92"/>
    </row>
    <row r="5" spans="1:2" s="1" customFormat="1" x14ac:dyDescent="0.25">
      <c r="A5" s="92"/>
    </row>
    <row r="6" spans="1:2" s="1" customFormat="1" x14ac:dyDescent="0.25">
      <c r="A6" s="92"/>
    </row>
    <row r="7" spans="1:2" s="1" customFormat="1" x14ac:dyDescent="0.25">
      <c r="A7" s="92"/>
    </row>
    <row r="8" spans="1:2" s="1" customFormat="1" x14ac:dyDescent="0.25">
      <c r="A8" s="92"/>
    </row>
    <row r="9" spans="1:2" s="1" customFormat="1" x14ac:dyDescent="0.25">
      <c r="A9" s="92"/>
    </row>
    <row r="10" spans="1:2" ht="14.25" x14ac:dyDescent="0.2">
      <c r="A10" s="91" t="s">
        <v>44</v>
      </c>
    </row>
    <row r="11" spans="1:2" s="1" customFormat="1" x14ac:dyDescent="0.25">
      <c r="A11" s="92"/>
    </row>
    <row r="12" spans="1:2" s="1" customFormat="1" x14ac:dyDescent="0.25">
      <c r="A12" s="92"/>
    </row>
    <row r="13" spans="1:2" s="1" customFormat="1" x14ac:dyDescent="0.25">
      <c r="A13" s="92"/>
    </row>
    <row r="14" spans="1:2" s="1" customFormat="1" x14ac:dyDescent="0.25">
      <c r="A14" s="92"/>
    </row>
    <row r="15" spans="1:2" s="1" customFormat="1" x14ac:dyDescent="0.25">
      <c r="A15" s="92"/>
    </row>
    <row r="16" spans="1:2" s="1" customFormat="1" x14ac:dyDescent="0.25">
      <c r="A16" s="92"/>
    </row>
    <row r="17" spans="1:1" s="1" customFormat="1" x14ac:dyDescent="0.25">
      <c r="A17" s="92"/>
    </row>
    <row r="18" spans="1:1" s="1" customFormat="1" x14ac:dyDescent="0.25">
      <c r="A18" s="92"/>
    </row>
    <row r="19" spans="1:1" s="1" customFormat="1" x14ac:dyDescent="0.25">
      <c r="A19" s="92"/>
    </row>
    <row r="20" spans="1:1" s="1" customFormat="1" x14ac:dyDescent="0.25">
      <c r="A20" s="92"/>
    </row>
    <row r="21" spans="1:1" s="1" customFormat="1" x14ac:dyDescent="0.25">
      <c r="A21" s="92"/>
    </row>
    <row r="22" spans="1:1" s="1" customFormat="1" x14ac:dyDescent="0.25">
      <c r="A22" s="92"/>
    </row>
    <row r="23" spans="1:1" s="1" customFormat="1" x14ac:dyDescent="0.25">
      <c r="A23" s="92"/>
    </row>
    <row r="24" spans="1:1" s="1" customFormat="1" x14ac:dyDescent="0.25">
      <c r="A24" s="92"/>
    </row>
    <row r="25" spans="1:1" s="1" customFormat="1" x14ac:dyDescent="0.25">
      <c r="A25" s="92"/>
    </row>
    <row r="26" spans="1:1" s="1" customFormat="1" x14ac:dyDescent="0.25">
      <c r="A26" s="92"/>
    </row>
    <row r="27" spans="1:1" s="1" customFormat="1" x14ac:dyDescent="0.25">
      <c r="A27" s="92"/>
    </row>
    <row r="28" spans="1:1" ht="14.25" x14ac:dyDescent="0.2">
      <c r="A28" s="91" t="s">
        <v>45</v>
      </c>
    </row>
    <row r="29" spans="1:1" s="1" customFormat="1" x14ac:dyDescent="0.25">
      <c r="A29" s="92"/>
    </row>
    <row r="30" spans="1:1" s="1" customFormat="1" x14ac:dyDescent="0.25">
      <c r="A30" s="92" t="s">
        <v>48</v>
      </c>
    </row>
    <row r="31" spans="1:1" s="1" customFormat="1" x14ac:dyDescent="0.25">
      <c r="A31" s="92"/>
    </row>
    <row r="32" spans="1:1" s="1" customFormat="1" x14ac:dyDescent="0.25">
      <c r="A32" s="92"/>
    </row>
    <row r="33" spans="1:1" s="1" customFormat="1" x14ac:dyDescent="0.25">
      <c r="A33" s="92"/>
    </row>
    <row r="34" spans="1:1" s="1" customFormat="1" x14ac:dyDescent="0.25">
      <c r="A34" s="92"/>
    </row>
    <row r="35" spans="1:1" s="1" customFormat="1" x14ac:dyDescent="0.25">
      <c r="A35" s="92"/>
    </row>
    <row r="36" spans="1:1" s="1" customFormat="1" x14ac:dyDescent="0.25">
      <c r="A36" s="92"/>
    </row>
    <row r="37" spans="1:1" s="1" customFormat="1" x14ac:dyDescent="0.25">
      <c r="A37" s="92"/>
    </row>
    <row r="38" spans="1:1" s="1" customFormat="1" x14ac:dyDescent="0.25">
      <c r="A38" s="92"/>
    </row>
    <row r="39" spans="1:1" s="1" customFormat="1" x14ac:dyDescent="0.25">
      <c r="A39" s="92"/>
    </row>
    <row r="40" spans="1:1" s="1" customFormat="1" x14ac:dyDescent="0.25">
      <c r="A40" s="92"/>
    </row>
    <row r="41" spans="1:1" s="1" customFormat="1" x14ac:dyDescent="0.25">
      <c r="A41" s="92" t="s">
        <v>49</v>
      </c>
    </row>
    <row r="42" spans="1:1" s="1" customFormat="1" x14ac:dyDescent="0.25">
      <c r="A42" s="92"/>
    </row>
    <row r="43" spans="1:1" s="1" customFormat="1" x14ac:dyDescent="0.25">
      <c r="A43" s="92"/>
    </row>
    <row r="44" spans="1:1" s="1" customFormat="1" x14ac:dyDescent="0.25">
      <c r="A44" s="92"/>
    </row>
    <row r="45" spans="1:1" s="1" customFormat="1" x14ac:dyDescent="0.25">
      <c r="A45" s="92"/>
    </row>
    <row r="46" spans="1:1" s="1" customFormat="1" x14ac:dyDescent="0.25">
      <c r="A46" s="92"/>
    </row>
    <row r="47" spans="1:1" s="1" customFormat="1" x14ac:dyDescent="0.25">
      <c r="A47" s="92"/>
    </row>
    <row r="48" spans="1:1" s="1" customFormat="1" x14ac:dyDescent="0.25">
      <c r="A48" s="92"/>
    </row>
    <row r="49" spans="1:1" s="1" customFormat="1" x14ac:dyDescent="0.25">
      <c r="A49" s="92"/>
    </row>
    <row r="50" spans="1:1" s="1" customFormat="1" x14ac:dyDescent="0.25">
      <c r="A50" s="92"/>
    </row>
    <row r="51" spans="1:1" s="1" customFormat="1" x14ac:dyDescent="0.25">
      <c r="A51" s="92"/>
    </row>
    <row r="52" spans="1:1" s="1" customFormat="1" x14ac:dyDescent="0.25">
      <c r="A52" s="92"/>
    </row>
    <row r="53" spans="1:1" ht="14.25" x14ac:dyDescent="0.2">
      <c r="A53" s="91" t="s">
        <v>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7">
    <tabColor theme="7" tint="0.39997558519241921"/>
    <pageSetUpPr fitToPage="1"/>
  </sheetPr>
  <dimension ref="A1:AA787"/>
  <sheetViews>
    <sheetView zoomScale="90" zoomScaleNormal="90" workbookViewId="0">
      <pane xSplit="2" ySplit="2" topLeftCell="C3" activePane="bottomRight" state="frozen"/>
      <selection activeCell="A6" sqref="A6"/>
      <selection pane="topRight" activeCell="A6" sqref="A6"/>
      <selection pane="bottomLeft" activeCell="A6" sqref="A6"/>
      <selection pane="bottomRight" activeCell="B7" sqref="B7"/>
    </sheetView>
  </sheetViews>
  <sheetFormatPr defaultColWidth="42.5" defaultRowHeight="15" outlineLevelCol="1" x14ac:dyDescent="0.25"/>
  <cols>
    <col min="1" max="1" width="40.33203125" style="78" customWidth="1"/>
    <col min="2" max="2" width="55.1640625" style="78" customWidth="1"/>
    <col min="3" max="3" width="21" style="79" customWidth="1" outlineLevel="1"/>
    <col min="4" max="4" width="28.83203125" style="80" customWidth="1" outlineLevel="1"/>
    <col min="5" max="5" width="89.5" style="77" customWidth="1"/>
    <col min="6" max="6" width="14" style="79" customWidth="1"/>
    <col min="7" max="7" width="19.83203125" style="79" customWidth="1"/>
    <col min="8" max="10" width="42.5" style="26" customWidth="1"/>
    <col min="11" max="11" width="42.5" style="31" customWidth="1"/>
    <col min="12" max="18" width="42.5" style="30" customWidth="1"/>
    <col min="19" max="20" width="42.5" style="31" customWidth="1"/>
    <col min="21" max="27" width="42.5" style="31"/>
    <col min="28" max="16384" width="42.5" style="26"/>
  </cols>
  <sheetData>
    <row r="1" spans="1:27" s="18" customFormat="1" ht="38.25" customHeight="1" x14ac:dyDescent="0.25">
      <c r="A1" s="70" t="s">
        <v>0</v>
      </c>
      <c r="B1" s="70" t="s">
        <v>35</v>
      </c>
      <c r="C1" s="70"/>
      <c r="D1" s="70"/>
      <c r="E1" s="71" t="s">
        <v>42</v>
      </c>
      <c r="F1" s="17" t="s">
        <v>39</v>
      </c>
      <c r="G1" s="82"/>
      <c r="H1" s="83"/>
      <c r="I1" s="83"/>
      <c r="J1" s="83"/>
      <c r="K1" s="84"/>
      <c r="L1" s="85"/>
      <c r="M1" s="85"/>
      <c r="N1" s="85"/>
      <c r="O1" s="85"/>
      <c r="P1" s="85"/>
      <c r="Q1" s="85"/>
      <c r="R1" s="20"/>
      <c r="S1" s="19"/>
      <c r="T1" s="19"/>
      <c r="U1" s="19"/>
      <c r="V1" s="19"/>
      <c r="W1" s="19"/>
      <c r="X1" s="19"/>
      <c r="Y1" s="19"/>
      <c r="Z1" s="19"/>
      <c r="AA1" s="19"/>
    </row>
    <row r="2" spans="1:27" s="24" customFormat="1" ht="51" customHeight="1" x14ac:dyDescent="0.2">
      <c r="A2" s="72"/>
      <c r="B2" s="81" t="s">
        <v>41</v>
      </c>
      <c r="C2" s="73" t="s">
        <v>36</v>
      </c>
      <c r="D2" s="73" t="s">
        <v>37</v>
      </c>
      <c r="E2" s="69"/>
      <c r="F2" s="73" t="s">
        <v>40</v>
      </c>
      <c r="G2" s="73" t="s">
        <v>38</v>
      </c>
      <c r="H2" s="73" t="s">
        <v>46</v>
      </c>
      <c r="I2" s="86"/>
      <c r="J2" s="86"/>
      <c r="K2" s="87"/>
      <c r="L2" s="88"/>
      <c r="M2" s="88"/>
      <c r="N2" s="88"/>
      <c r="O2" s="88"/>
      <c r="P2" s="88"/>
      <c r="Q2" s="88"/>
      <c r="R2" s="22"/>
      <c r="S2" s="21"/>
      <c r="T2" s="21"/>
      <c r="U2" s="21"/>
      <c r="V2" s="21"/>
      <c r="W2" s="21"/>
      <c r="X2" s="21"/>
      <c r="Y2" s="21"/>
      <c r="Z2" s="21"/>
      <c r="AA2" s="21"/>
    </row>
    <row r="3" spans="1:27" s="25" customFormat="1" x14ac:dyDescent="0.25">
      <c r="A3" s="74" t="s">
        <v>1</v>
      </c>
      <c r="B3" s="74" t="s">
        <v>6</v>
      </c>
      <c r="C3" s="75">
        <v>36892</v>
      </c>
      <c r="D3" s="76" t="s">
        <v>16</v>
      </c>
      <c r="E3" s="77" t="s">
        <v>18</v>
      </c>
      <c r="F3" s="93">
        <f>IFERROR(VLOOKUP(E3,price!A:B,2,0),"")</f>
        <v>1500</v>
      </c>
      <c r="G3" s="94">
        <v>0.15</v>
      </c>
      <c r="H3" s="95">
        <f>IFERROR(F3-(F3*G3),"")</f>
        <v>1275</v>
      </c>
      <c r="K3" s="27"/>
      <c r="L3" s="28"/>
      <c r="M3" s="28"/>
      <c r="N3" s="28"/>
      <c r="O3" s="28"/>
      <c r="P3" s="28"/>
      <c r="Q3" s="28"/>
      <c r="R3" s="28"/>
      <c r="S3" s="27"/>
      <c r="T3" s="27"/>
      <c r="U3" s="27"/>
      <c r="V3" s="27"/>
      <c r="W3" s="27"/>
      <c r="X3" s="27"/>
      <c r="Y3" s="27"/>
      <c r="Z3" s="27"/>
      <c r="AA3" s="27"/>
    </row>
    <row r="4" spans="1:27" x14ac:dyDescent="0.25">
      <c r="A4" s="74" t="s">
        <v>4</v>
      </c>
      <c r="B4" s="74" t="s">
        <v>12</v>
      </c>
      <c r="C4" s="75">
        <v>36892</v>
      </c>
      <c r="D4" s="76" t="s">
        <v>17</v>
      </c>
      <c r="E4" s="77" t="s">
        <v>25</v>
      </c>
      <c r="F4" s="93">
        <f>IFERROR(VLOOKUP(E4,price!A:B,2,0),"")</f>
        <v>3900</v>
      </c>
      <c r="G4" s="94">
        <v>1.24</v>
      </c>
      <c r="H4" s="95">
        <f t="shared" ref="H4:H67" si="0">IFERROR(F4-(F4*G4),"")</f>
        <v>-936</v>
      </c>
      <c r="O4" s="28"/>
    </row>
    <row r="5" spans="1:27" x14ac:dyDescent="0.25">
      <c r="A5" s="74"/>
      <c r="B5" s="74"/>
      <c r="C5" s="75"/>
      <c r="D5" s="76"/>
      <c r="F5" s="93" t="str">
        <f>IFERROR(VLOOKUP(E5,price!A:B,2,0),"")</f>
        <v/>
      </c>
      <c r="G5" s="94"/>
      <c r="H5" s="95" t="str">
        <f t="shared" si="0"/>
        <v/>
      </c>
      <c r="O5" s="28"/>
    </row>
    <row r="6" spans="1:27" x14ac:dyDescent="0.25">
      <c r="A6" s="74"/>
      <c r="B6" s="74"/>
      <c r="C6" s="75"/>
      <c r="D6" s="76"/>
      <c r="F6" s="93" t="str">
        <f>IFERROR(VLOOKUP(E6,price!A:B,2,0),"")</f>
        <v/>
      </c>
      <c r="G6" s="94"/>
      <c r="H6" s="95" t="str">
        <f t="shared" si="0"/>
        <v/>
      </c>
      <c r="O6" s="28"/>
    </row>
    <row r="7" spans="1:27" x14ac:dyDescent="0.25">
      <c r="A7" s="74"/>
      <c r="B7" s="74"/>
      <c r="C7" s="75"/>
      <c r="D7" s="76"/>
      <c r="F7" s="93" t="str">
        <f>IFERROR(VLOOKUP(E7,price!A:B,2,0),"")</f>
        <v/>
      </c>
      <c r="G7" s="94"/>
      <c r="H7" s="95" t="str">
        <f t="shared" si="0"/>
        <v/>
      </c>
      <c r="O7" s="28"/>
    </row>
    <row r="8" spans="1:27" x14ac:dyDescent="0.25">
      <c r="A8" s="74"/>
      <c r="B8" s="74"/>
      <c r="C8" s="75"/>
      <c r="D8" s="76"/>
      <c r="F8" s="93" t="str">
        <f>IFERROR(VLOOKUP(E8,price!A:B,2,0),"")</f>
        <v/>
      </c>
      <c r="G8" s="94"/>
      <c r="H8" s="95" t="str">
        <f t="shared" si="0"/>
        <v/>
      </c>
      <c r="O8" s="28"/>
    </row>
    <row r="9" spans="1:27" x14ac:dyDescent="0.25">
      <c r="A9" s="74"/>
      <c r="B9" s="74"/>
      <c r="C9" s="75"/>
      <c r="D9" s="76"/>
      <c r="F9" s="93" t="str">
        <f>IFERROR(VLOOKUP(E9,price!A:B,2,0),"")</f>
        <v/>
      </c>
      <c r="G9" s="94"/>
      <c r="H9" s="95" t="str">
        <f t="shared" si="0"/>
        <v/>
      </c>
      <c r="O9" s="28"/>
    </row>
    <row r="10" spans="1:27" x14ac:dyDescent="0.25">
      <c r="A10" s="74"/>
      <c r="B10" s="74"/>
      <c r="C10" s="75"/>
      <c r="D10" s="76"/>
      <c r="F10" s="93" t="str">
        <f>IFERROR(VLOOKUP(E10,price!A:B,2,0),"")</f>
        <v/>
      </c>
      <c r="G10" s="94"/>
      <c r="H10" s="95" t="str">
        <f t="shared" si="0"/>
        <v/>
      </c>
      <c r="O10" s="28"/>
    </row>
    <row r="11" spans="1:27" x14ac:dyDescent="0.25">
      <c r="A11" s="74"/>
      <c r="B11" s="74"/>
      <c r="C11" s="75"/>
      <c r="D11" s="76"/>
      <c r="F11" s="93" t="str">
        <f>IFERROR(VLOOKUP(E11,price!A:B,2,0),"")</f>
        <v/>
      </c>
      <c r="G11" s="94"/>
      <c r="H11" s="95" t="str">
        <f t="shared" si="0"/>
        <v/>
      </c>
      <c r="O11" s="28"/>
    </row>
    <row r="12" spans="1:27" x14ac:dyDescent="0.25">
      <c r="A12" s="74"/>
      <c r="B12" s="74"/>
      <c r="C12" s="75"/>
      <c r="D12" s="76"/>
      <c r="F12" s="93" t="str">
        <f>IFERROR(VLOOKUP(E12,price!A:B,2,0),"")</f>
        <v/>
      </c>
      <c r="G12" s="94"/>
      <c r="H12" s="95" t="str">
        <f t="shared" si="0"/>
        <v/>
      </c>
      <c r="O12" s="28"/>
    </row>
    <row r="13" spans="1:27" x14ac:dyDescent="0.25">
      <c r="A13" s="74"/>
      <c r="B13" s="74"/>
      <c r="C13" s="75"/>
      <c r="D13" s="76"/>
      <c r="F13" s="93" t="str">
        <f>IFERROR(VLOOKUP(E13,price!A:B,2,0),"")</f>
        <v/>
      </c>
      <c r="G13" s="94"/>
      <c r="H13" s="95" t="str">
        <f t="shared" si="0"/>
        <v/>
      </c>
      <c r="O13" s="28"/>
    </row>
    <row r="14" spans="1:27" x14ac:dyDescent="0.25">
      <c r="A14" s="74"/>
      <c r="B14" s="74"/>
      <c r="C14" s="75"/>
      <c r="D14" s="76"/>
      <c r="F14" s="93" t="str">
        <f>IFERROR(VLOOKUP(E14,price!A:B,2,0),"")</f>
        <v/>
      </c>
      <c r="G14" s="94"/>
      <c r="H14" s="95" t="str">
        <f t="shared" si="0"/>
        <v/>
      </c>
      <c r="O14" s="28"/>
    </row>
    <row r="15" spans="1:27" s="32" customFormat="1" x14ac:dyDescent="0.25">
      <c r="A15" s="74"/>
      <c r="B15" s="74"/>
      <c r="C15" s="75"/>
      <c r="D15" s="76"/>
      <c r="E15" s="77"/>
      <c r="F15" s="93" t="str">
        <f>IFERROR(VLOOKUP(E15,price!A:B,2,0),"")</f>
        <v/>
      </c>
      <c r="G15" s="94"/>
      <c r="H15" s="95" t="str">
        <f t="shared" si="0"/>
        <v/>
      </c>
      <c r="K15" s="31"/>
      <c r="L15" s="30"/>
      <c r="M15" s="30"/>
      <c r="N15" s="30"/>
      <c r="O15" s="28"/>
      <c r="P15" s="30"/>
      <c r="Q15" s="30"/>
      <c r="R15" s="30"/>
      <c r="S15" s="31"/>
      <c r="T15" s="31"/>
      <c r="U15" s="31"/>
      <c r="V15" s="31"/>
      <c r="W15" s="31"/>
      <c r="X15" s="31"/>
      <c r="Y15" s="31"/>
      <c r="Z15" s="31"/>
      <c r="AA15" s="31"/>
    </row>
    <row r="16" spans="1:27" s="32" customFormat="1" x14ac:dyDescent="0.25">
      <c r="A16" s="74"/>
      <c r="B16" s="74"/>
      <c r="C16" s="75"/>
      <c r="D16" s="76"/>
      <c r="E16" s="77"/>
      <c r="F16" s="93" t="str">
        <f>IFERROR(VLOOKUP(E16,price!A:B,2,0),"")</f>
        <v/>
      </c>
      <c r="G16" s="94"/>
      <c r="H16" s="95" t="str">
        <f t="shared" si="0"/>
        <v/>
      </c>
      <c r="K16" s="31"/>
      <c r="L16" s="30"/>
      <c r="M16" s="30"/>
      <c r="N16" s="30"/>
      <c r="O16" s="28"/>
      <c r="P16" s="30"/>
      <c r="Q16" s="30"/>
      <c r="R16" s="30"/>
      <c r="S16" s="31"/>
      <c r="T16" s="31"/>
      <c r="U16" s="31"/>
      <c r="V16" s="31"/>
      <c r="W16" s="31"/>
      <c r="X16" s="31"/>
      <c r="Y16" s="31"/>
      <c r="Z16" s="31"/>
      <c r="AA16" s="31"/>
    </row>
    <row r="17" spans="1:15" x14ac:dyDescent="0.25">
      <c r="A17" s="74"/>
      <c r="B17" s="74"/>
      <c r="C17" s="75"/>
      <c r="D17" s="76"/>
      <c r="F17" s="93" t="str">
        <f>IFERROR(VLOOKUP(E17,price!A:B,2,0),"")</f>
        <v/>
      </c>
      <c r="G17" s="94"/>
      <c r="H17" s="95" t="str">
        <f t="shared" si="0"/>
        <v/>
      </c>
      <c r="O17" s="28"/>
    </row>
    <row r="18" spans="1:15" x14ac:dyDescent="0.25">
      <c r="A18" s="74"/>
      <c r="B18" s="74"/>
      <c r="C18" s="75"/>
      <c r="D18" s="76"/>
      <c r="F18" s="93" t="str">
        <f>IFERROR(VLOOKUP(E18,price!A:B,2,0),"")</f>
        <v/>
      </c>
      <c r="G18" s="94"/>
      <c r="H18" s="95" t="str">
        <f t="shared" si="0"/>
        <v/>
      </c>
      <c r="O18" s="28"/>
    </row>
    <row r="19" spans="1:15" x14ac:dyDescent="0.25">
      <c r="A19" s="74"/>
      <c r="B19" s="74"/>
      <c r="C19" s="75"/>
      <c r="D19" s="76"/>
      <c r="F19" s="93" t="str">
        <f>IFERROR(VLOOKUP(E19,price!A:B,2,0),"")</f>
        <v/>
      </c>
      <c r="G19" s="94"/>
      <c r="H19" s="95" t="str">
        <f t="shared" si="0"/>
        <v/>
      </c>
      <c r="O19" s="28"/>
    </row>
    <row r="20" spans="1:15" x14ac:dyDescent="0.25">
      <c r="A20" s="74"/>
      <c r="B20" s="74"/>
      <c r="C20" s="75"/>
      <c r="D20" s="76"/>
      <c r="F20" s="93" t="str">
        <f>IFERROR(VLOOKUP(E20,price!A:B,2,0),"")</f>
        <v/>
      </c>
      <c r="G20" s="94"/>
      <c r="H20" s="95" t="str">
        <f t="shared" si="0"/>
        <v/>
      </c>
      <c r="O20" s="28"/>
    </row>
    <row r="21" spans="1:15" x14ac:dyDescent="0.25">
      <c r="A21" s="74"/>
      <c r="B21" s="74"/>
      <c r="C21" s="75"/>
      <c r="D21" s="76"/>
      <c r="F21" s="93" t="str">
        <f>IFERROR(VLOOKUP(E21,price!A:B,2,0),"")</f>
        <v/>
      </c>
      <c r="G21" s="94"/>
      <c r="H21" s="95" t="str">
        <f t="shared" si="0"/>
        <v/>
      </c>
      <c r="O21" s="28"/>
    </row>
    <row r="22" spans="1:15" x14ac:dyDescent="0.25">
      <c r="A22" s="74"/>
      <c r="B22" s="74"/>
      <c r="C22" s="75"/>
      <c r="D22" s="76"/>
      <c r="F22" s="93" t="str">
        <f>IFERROR(VLOOKUP(E22,price!A:B,2,0),"")</f>
        <v/>
      </c>
      <c r="G22" s="94"/>
      <c r="H22" s="95" t="str">
        <f t="shared" si="0"/>
        <v/>
      </c>
      <c r="O22" s="28"/>
    </row>
    <row r="23" spans="1:15" x14ac:dyDescent="0.25">
      <c r="A23" s="74"/>
      <c r="B23" s="74"/>
      <c r="C23" s="75"/>
      <c r="D23" s="76"/>
      <c r="F23" s="93" t="str">
        <f>IFERROR(VLOOKUP(E23,price!A:B,2,0),"")</f>
        <v/>
      </c>
      <c r="G23" s="94"/>
      <c r="H23" s="95" t="str">
        <f t="shared" si="0"/>
        <v/>
      </c>
      <c r="O23" s="28"/>
    </row>
    <row r="24" spans="1:15" x14ac:dyDescent="0.25">
      <c r="A24" s="74"/>
      <c r="B24" s="74"/>
      <c r="C24" s="75"/>
      <c r="D24" s="76"/>
      <c r="F24" s="93" t="str">
        <f>IFERROR(VLOOKUP(E24,price!A:B,2,0),"")</f>
        <v/>
      </c>
      <c r="G24" s="94"/>
      <c r="H24" s="95" t="str">
        <f t="shared" si="0"/>
        <v/>
      </c>
      <c r="O24" s="28"/>
    </row>
    <row r="25" spans="1:15" x14ac:dyDescent="0.25">
      <c r="A25" s="74"/>
      <c r="B25" s="74"/>
      <c r="C25" s="75"/>
      <c r="D25" s="76"/>
      <c r="F25" s="93" t="str">
        <f>IFERROR(VLOOKUP(E25,price!A:B,2,0),"")</f>
        <v/>
      </c>
      <c r="G25" s="94"/>
      <c r="H25" s="95" t="str">
        <f t="shared" si="0"/>
        <v/>
      </c>
      <c r="O25" s="28"/>
    </row>
    <row r="26" spans="1:15" x14ac:dyDescent="0.25">
      <c r="A26" s="74"/>
      <c r="B26" s="74"/>
      <c r="C26" s="75"/>
      <c r="D26" s="76"/>
      <c r="F26" s="93" t="str">
        <f>IFERROR(VLOOKUP(E26,price!A:B,2,0),"")</f>
        <v/>
      </c>
      <c r="G26" s="94"/>
      <c r="H26" s="95" t="str">
        <f t="shared" si="0"/>
        <v/>
      </c>
      <c r="O26" s="28"/>
    </row>
    <row r="27" spans="1:15" x14ac:dyDescent="0.25">
      <c r="A27" s="74"/>
      <c r="B27" s="74"/>
      <c r="C27" s="75"/>
      <c r="D27" s="76"/>
      <c r="F27" s="93" t="str">
        <f>IFERROR(VLOOKUP(E27,price!A:B,2,0),"")</f>
        <v/>
      </c>
      <c r="G27" s="94"/>
      <c r="H27" s="95" t="str">
        <f t="shared" si="0"/>
        <v/>
      </c>
      <c r="O27" s="28"/>
    </row>
    <row r="28" spans="1:15" x14ac:dyDescent="0.25">
      <c r="A28" s="74"/>
      <c r="B28" s="74"/>
      <c r="C28" s="75"/>
      <c r="D28" s="76"/>
      <c r="F28" s="93" t="str">
        <f>IFERROR(VLOOKUP(E28,price!A:B,2,0),"")</f>
        <v/>
      </c>
      <c r="G28" s="94"/>
      <c r="H28" s="95" t="str">
        <f t="shared" si="0"/>
        <v/>
      </c>
      <c r="O28" s="28"/>
    </row>
    <row r="29" spans="1:15" x14ac:dyDescent="0.25">
      <c r="A29" s="74"/>
      <c r="B29" s="74"/>
      <c r="C29" s="75"/>
      <c r="D29" s="76"/>
      <c r="F29" s="93" t="str">
        <f>IFERROR(VLOOKUP(E29,price!A:B,2,0),"")</f>
        <v/>
      </c>
      <c r="G29" s="94"/>
      <c r="H29" s="95" t="str">
        <f t="shared" si="0"/>
        <v/>
      </c>
      <c r="O29" s="28"/>
    </row>
    <row r="30" spans="1:15" x14ac:dyDescent="0.25">
      <c r="A30" s="74"/>
      <c r="B30" s="74"/>
      <c r="C30" s="75"/>
      <c r="D30" s="76"/>
      <c r="F30" s="93" t="str">
        <f>IFERROR(VLOOKUP(E30,price!A:B,2,0),"")</f>
        <v/>
      </c>
      <c r="G30" s="94"/>
      <c r="H30" s="95" t="str">
        <f t="shared" si="0"/>
        <v/>
      </c>
      <c r="O30" s="28"/>
    </row>
    <row r="31" spans="1:15" x14ac:dyDescent="0.25">
      <c r="A31" s="74"/>
      <c r="B31" s="74"/>
      <c r="C31" s="75"/>
      <c r="D31" s="76"/>
      <c r="F31" s="93" t="str">
        <f>IFERROR(VLOOKUP(E31,price!A:B,2,0),"")</f>
        <v/>
      </c>
      <c r="G31" s="94"/>
      <c r="H31" s="95" t="str">
        <f t="shared" si="0"/>
        <v/>
      </c>
      <c r="O31" s="28"/>
    </row>
    <row r="32" spans="1:15" x14ac:dyDescent="0.25">
      <c r="A32" s="74"/>
      <c r="B32" s="74"/>
      <c r="C32" s="75"/>
      <c r="D32" s="76"/>
      <c r="F32" s="93" t="str">
        <f>IFERROR(VLOOKUP(E32,price!A:B,2,0),"")</f>
        <v/>
      </c>
      <c r="G32" s="94"/>
      <c r="H32" s="95" t="str">
        <f t="shared" si="0"/>
        <v/>
      </c>
      <c r="O32" s="28"/>
    </row>
    <row r="33" spans="1:15" x14ac:dyDescent="0.25">
      <c r="A33" s="74"/>
      <c r="B33" s="74"/>
      <c r="C33" s="75"/>
      <c r="D33" s="76"/>
      <c r="F33" s="93" t="str">
        <f>IFERROR(VLOOKUP(E33,price!A:B,2,0),"")</f>
        <v/>
      </c>
      <c r="G33" s="94"/>
      <c r="H33" s="95" t="str">
        <f t="shared" si="0"/>
        <v/>
      </c>
      <c r="O33" s="28"/>
    </row>
    <row r="34" spans="1:15" x14ac:dyDescent="0.25">
      <c r="A34" s="74"/>
      <c r="B34" s="74"/>
      <c r="C34" s="75"/>
      <c r="D34" s="76"/>
      <c r="F34" s="93" t="str">
        <f>IFERROR(VLOOKUP(E34,price!A:B,2,0),"")</f>
        <v/>
      </c>
      <c r="G34" s="94"/>
      <c r="H34" s="95" t="str">
        <f t="shared" si="0"/>
        <v/>
      </c>
      <c r="O34" s="28"/>
    </row>
    <row r="35" spans="1:15" x14ac:dyDescent="0.25">
      <c r="A35" s="74"/>
      <c r="B35" s="74"/>
      <c r="C35" s="75"/>
      <c r="D35" s="76"/>
      <c r="F35" s="93" t="str">
        <f>IFERROR(VLOOKUP(E35,price!A:B,2,0),"")</f>
        <v/>
      </c>
      <c r="G35" s="94"/>
      <c r="H35" s="95" t="str">
        <f t="shared" si="0"/>
        <v/>
      </c>
      <c r="O35" s="28"/>
    </row>
    <row r="36" spans="1:15" x14ac:dyDescent="0.25">
      <c r="A36" s="74"/>
      <c r="B36" s="74"/>
      <c r="C36" s="75"/>
      <c r="D36" s="76"/>
      <c r="F36" s="93" t="str">
        <f>IFERROR(VLOOKUP(E36,price!A:B,2,0),"")</f>
        <v/>
      </c>
      <c r="G36" s="94"/>
      <c r="H36" s="95" t="str">
        <f t="shared" si="0"/>
        <v/>
      </c>
      <c r="O36" s="28"/>
    </row>
    <row r="37" spans="1:15" x14ac:dyDescent="0.25">
      <c r="A37" s="74"/>
      <c r="B37" s="74"/>
      <c r="C37" s="75"/>
      <c r="D37" s="76"/>
      <c r="F37" s="93" t="str">
        <f>IFERROR(VLOOKUP(E37,price!A:B,2,0),"")</f>
        <v/>
      </c>
      <c r="G37" s="94"/>
      <c r="H37" s="95" t="str">
        <f t="shared" si="0"/>
        <v/>
      </c>
      <c r="O37" s="28"/>
    </row>
    <row r="38" spans="1:15" x14ac:dyDescent="0.25">
      <c r="A38" s="74"/>
      <c r="B38" s="74"/>
      <c r="C38" s="75"/>
      <c r="D38" s="76"/>
      <c r="F38" s="93" t="str">
        <f>IFERROR(VLOOKUP(E38,price!A:B,2,0),"")</f>
        <v/>
      </c>
      <c r="G38" s="94"/>
      <c r="H38" s="95" t="str">
        <f t="shared" si="0"/>
        <v/>
      </c>
      <c r="O38" s="28"/>
    </row>
    <row r="39" spans="1:15" x14ac:dyDescent="0.25">
      <c r="A39" s="74"/>
      <c r="B39" s="74"/>
      <c r="C39" s="75"/>
      <c r="D39" s="76"/>
      <c r="F39" s="93" t="str">
        <f>IFERROR(VLOOKUP(E39,price!A:B,2,0),"")</f>
        <v/>
      </c>
      <c r="G39" s="94"/>
      <c r="H39" s="95" t="str">
        <f t="shared" si="0"/>
        <v/>
      </c>
      <c r="O39" s="28"/>
    </row>
    <row r="40" spans="1:15" x14ac:dyDescent="0.25">
      <c r="A40" s="74"/>
      <c r="B40" s="74"/>
      <c r="C40" s="75"/>
      <c r="D40" s="76"/>
      <c r="F40" s="93" t="str">
        <f>IFERROR(VLOOKUP(E40,price!A:B,2,0),"")</f>
        <v/>
      </c>
      <c r="G40" s="94"/>
      <c r="H40" s="95" t="str">
        <f t="shared" si="0"/>
        <v/>
      </c>
      <c r="O40" s="28"/>
    </row>
    <row r="41" spans="1:15" x14ac:dyDescent="0.25">
      <c r="A41" s="74"/>
      <c r="B41" s="74"/>
      <c r="C41" s="75"/>
      <c r="D41" s="76"/>
      <c r="F41" s="93" t="str">
        <f>IFERROR(VLOOKUP(E41,price!A:B,2,0),"")</f>
        <v/>
      </c>
      <c r="G41" s="94"/>
      <c r="H41" s="95" t="str">
        <f t="shared" si="0"/>
        <v/>
      </c>
      <c r="O41" s="28"/>
    </row>
    <row r="42" spans="1:15" x14ac:dyDescent="0.25">
      <c r="A42" s="74"/>
      <c r="B42" s="74"/>
      <c r="C42" s="75"/>
      <c r="D42" s="76"/>
      <c r="F42" s="93" t="str">
        <f>IFERROR(VLOOKUP(E42,price!A:B,2,0),"")</f>
        <v/>
      </c>
      <c r="G42" s="94"/>
      <c r="H42" s="95" t="str">
        <f t="shared" si="0"/>
        <v/>
      </c>
      <c r="O42" s="28"/>
    </row>
    <row r="43" spans="1:15" x14ac:dyDescent="0.25">
      <c r="A43" s="74"/>
      <c r="B43" s="74"/>
      <c r="C43" s="75"/>
      <c r="D43" s="76"/>
      <c r="F43" s="93" t="str">
        <f>IFERROR(VLOOKUP(E43,price!A:B,2,0),"")</f>
        <v/>
      </c>
      <c r="G43" s="94"/>
      <c r="H43" s="95" t="str">
        <f t="shared" si="0"/>
        <v/>
      </c>
      <c r="O43" s="28"/>
    </row>
    <row r="44" spans="1:15" x14ac:dyDescent="0.25">
      <c r="A44" s="74"/>
      <c r="B44" s="74"/>
      <c r="C44" s="75"/>
      <c r="D44" s="76"/>
      <c r="F44" s="93" t="str">
        <f>IFERROR(VLOOKUP(E44,price!A:B,2,0),"")</f>
        <v/>
      </c>
      <c r="G44" s="94"/>
      <c r="H44" s="95" t="str">
        <f t="shared" si="0"/>
        <v/>
      </c>
      <c r="O44" s="28"/>
    </row>
    <row r="45" spans="1:15" x14ac:dyDescent="0.25">
      <c r="A45" s="74"/>
      <c r="B45" s="74"/>
      <c r="C45" s="75"/>
      <c r="D45" s="76"/>
      <c r="F45" s="93" t="str">
        <f>IFERROR(VLOOKUP(E45,price!A:B,2,0),"")</f>
        <v/>
      </c>
      <c r="G45" s="94"/>
      <c r="H45" s="95" t="str">
        <f t="shared" si="0"/>
        <v/>
      </c>
      <c r="O45" s="28"/>
    </row>
    <row r="46" spans="1:15" x14ac:dyDescent="0.25">
      <c r="A46" s="74"/>
      <c r="B46" s="74"/>
      <c r="C46" s="75"/>
      <c r="D46" s="76"/>
      <c r="F46" s="93" t="str">
        <f>IFERROR(VLOOKUP(E46,price!A:B,2,0),"")</f>
        <v/>
      </c>
      <c r="G46" s="94"/>
      <c r="H46" s="95" t="str">
        <f t="shared" si="0"/>
        <v/>
      </c>
      <c r="O46" s="28"/>
    </row>
    <row r="47" spans="1:15" x14ac:dyDescent="0.25">
      <c r="A47" s="74"/>
      <c r="B47" s="74"/>
      <c r="C47" s="75"/>
      <c r="D47" s="76"/>
      <c r="F47" s="93" t="str">
        <f>IFERROR(VLOOKUP(E47,price!A:B,2,0),"")</f>
        <v/>
      </c>
      <c r="G47" s="94"/>
      <c r="H47" s="95" t="str">
        <f t="shared" si="0"/>
        <v/>
      </c>
      <c r="O47" s="28"/>
    </row>
    <row r="48" spans="1:15" x14ac:dyDescent="0.25">
      <c r="A48" s="74"/>
      <c r="B48" s="74"/>
      <c r="C48" s="75"/>
      <c r="D48" s="76"/>
      <c r="F48" s="93" t="str">
        <f>IFERROR(VLOOKUP(E48,price!A:B,2,0),"")</f>
        <v/>
      </c>
      <c r="G48" s="94"/>
      <c r="H48" s="95" t="str">
        <f t="shared" si="0"/>
        <v/>
      </c>
      <c r="O48" s="28"/>
    </row>
    <row r="49" spans="1:15" x14ac:dyDescent="0.25">
      <c r="A49" s="74"/>
      <c r="B49" s="74"/>
      <c r="C49" s="75"/>
      <c r="D49" s="76"/>
      <c r="F49" s="93" t="str">
        <f>IFERROR(VLOOKUP(E49,price!A:B,2,0),"")</f>
        <v/>
      </c>
      <c r="G49" s="94"/>
      <c r="H49" s="95" t="str">
        <f t="shared" si="0"/>
        <v/>
      </c>
      <c r="O49" s="28"/>
    </row>
    <row r="50" spans="1:15" x14ac:dyDescent="0.25">
      <c r="A50" s="74"/>
      <c r="B50" s="74"/>
      <c r="C50" s="75"/>
      <c r="D50" s="76"/>
      <c r="F50" s="93" t="str">
        <f>IFERROR(VLOOKUP(E50,price!A:B,2,0),"")</f>
        <v/>
      </c>
      <c r="G50" s="94"/>
      <c r="H50" s="95" t="str">
        <f t="shared" si="0"/>
        <v/>
      </c>
      <c r="O50" s="28"/>
    </row>
    <row r="51" spans="1:15" x14ac:dyDescent="0.25">
      <c r="A51" s="74"/>
      <c r="B51" s="74"/>
      <c r="C51" s="75"/>
      <c r="D51" s="76"/>
      <c r="F51" s="93" t="str">
        <f>IFERROR(VLOOKUP(E51,price!A:B,2,0),"")</f>
        <v/>
      </c>
      <c r="G51" s="94"/>
      <c r="H51" s="95" t="str">
        <f t="shared" si="0"/>
        <v/>
      </c>
      <c r="O51" s="28"/>
    </row>
    <row r="52" spans="1:15" x14ac:dyDescent="0.25">
      <c r="A52" s="74"/>
      <c r="B52" s="74"/>
      <c r="C52" s="75"/>
      <c r="D52" s="76"/>
      <c r="F52" s="93" t="str">
        <f>IFERROR(VLOOKUP(E52,price!A:B,2,0),"")</f>
        <v/>
      </c>
      <c r="G52" s="94"/>
      <c r="H52" s="95" t="str">
        <f t="shared" si="0"/>
        <v/>
      </c>
      <c r="O52" s="28"/>
    </row>
    <row r="53" spans="1:15" x14ac:dyDescent="0.25">
      <c r="A53" s="74"/>
      <c r="B53" s="74"/>
      <c r="C53" s="75"/>
      <c r="D53" s="76"/>
      <c r="F53" s="93" t="str">
        <f>IFERROR(VLOOKUP(E53,price!A:B,2,0),"")</f>
        <v/>
      </c>
      <c r="G53" s="94"/>
      <c r="H53" s="95" t="str">
        <f t="shared" si="0"/>
        <v/>
      </c>
      <c r="O53" s="28"/>
    </row>
    <row r="54" spans="1:15" x14ac:dyDescent="0.25">
      <c r="A54" s="74"/>
      <c r="B54" s="74"/>
      <c r="C54" s="75"/>
      <c r="D54" s="76"/>
      <c r="F54" s="93" t="str">
        <f>IFERROR(VLOOKUP(E54,price!A:B,2,0),"")</f>
        <v/>
      </c>
      <c r="G54" s="94"/>
      <c r="H54" s="95" t="str">
        <f t="shared" si="0"/>
        <v/>
      </c>
      <c r="O54" s="28"/>
    </row>
    <row r="55" spans="1:15" x14ac:dyDescent="0.25">
      <c r="A55" s="74"/>
      <c r="B55" s="74"/>
      <c r="C55" s="75"/>
      <c r="D55" s="76"/>
      <c r="F55" s="93" t="str">
        <f>IFERROR(VLOOKUP(E55,price!A:B,2,0),"")</f>
        <v/>
      </c>
      <c r="G55" s="94"/>
      <c r="H55" s="95" t="str">
        <f t="shared" si="0"/>
        <v/>
      </c>
      <c r="O55" s="28"/>
    </row>
    <row r="56" spans="1:15" x14ac:dyDescent="0.25">
      <c r="A56" s="74"/>
      <c r="B56" s="74"/>
      <c r="C56" s="75"/>
      <c r="D56" s="76"/>
      <c r="F56" s="93" t="str">
        <f>IFERROR(VLOOKUP(E56,price!A:B,2,0),"")</f>
        <v/>
      </c>
      <c r="G56" s="94"/>
      <c r="H56" s="95" t="str">
        <f t="shared" si="0"/>
        <v/>
      </c>
      <c r="O56" s="28"/>
    </row>
    <row r="57" spans="1:15" x14ac:dyDescent="0.25">
      <c r="A57" s="74"/>
      <c r="B57" s="74"/>
      <c r="C57" s="75"/>
      <c r="D57" s="76"/>
      <c r="F57" s="93" t="str">
        <f>IFERROR(VLOOKUP(E57,price!A:B,2,0),"")</f>
        <v/>
      </c>
      <c r="G57" s="94"/>
      <c r="H57" s="95" t="str">
        <f t="shared" si="0"/>
        <v/>
      </c>
      <c r="O57" s="28"/>
    </row>
    <row r="58" spans="1:15" x14ac:dyDescent="0.25">
      <c r="A58" s="74"/>
      <c r="B58" s="74"/>
      <c r="C58" s="75"/>
      <c r="D58" s="76"/>
      <c r="F58" s="93" t="str">
        <f>IFERROR(VLOOKUP(E58,price!A:B,2,0),"")</f>
        <v/>
      </c>
      <c r="G58" s="94"/>
      <c r="H58" s="95" t="str">
        <f t="shared" si="0"/>
        <v/>
      </c>
      <c r="O58" s="28"/>
    </row>
    <row r="59" spans="1:15" x14ac:dyDescent="0.25">
      <c r="A59" s="74"/>
      <c r="B59" s="74"/>
      <c r="C59" s="75"/>
      <c r="D59" s="76"/>
      <c r="F59" s="93" t="str">
        <f>IFERROR(VLOOKUP(E59,price!A:B,2,0),"")</f>
        <v/>
      </c>
      <c r="G59" s="94"/>
      <c r="H59" s="95" t="str">
        <f t="shared" si="0"/>
        <v/>
      </c>
      <c r="O59" s="28"/>
    </row>
    <row r="60" spans="1:15" x14ac:dyDescent="0.25">
      <c r="A60" s="74"/>
      <c r="B60" s="74"/>
      <c r="C60" s="75"/>
      <c r="D60" s="76"/>
      <c r="F60" s="93" t="str">
        <f>IFERROR(VLOOKUP(E60,price!A:B,2,0),"")</f>
        <v/>
      </c>
      <c r="G60" s="94"/>
      <c r="H60" s="95" t="str">
        <f t="shared" si="0"/>
        <v/>
      </c>
      <c r="O60" s="28"/>
    </row>
    <row r="61" spans="1:15" x14ac:dyDescent="0.25">
      <c r="A61" s="74"/>
      <c r="B61" s="74"/>
      <c r="C61" s="75"/>
      <c r="D61" s="76"/>
      <c r="F61" s="93" t="str">
        <f>IFERROR(VLOOKUP(E61,price!A:B,2,0),"")</f>
        <v/>
      </c>
      <c r="G61" s="94"/>
      <c r="H61" s="95" t="str">
        <f t="shared" si="0"/>
        <v/>
      </c>
      <c r="O61" s="28"/>
    </row>
    <row r="62" spans="1:15" x14ac:dyDescent="0.25">
      <c r="A62" s="74"/>
      <c r="B62" s="74"/>
      <c r="C62" s="75"/>
      <c r="D62" s="76"/>
      <c r="F62" s="93" t="str">
        <f>IFERROR(VLOOKUP(E62,price!A:B,2,0),"")</f>
        <v/>
      </c>
      <c r="G62" s="94"/>
      <c r="H62" s="95" t="str">
        <f t="shared" si="0"/>
        <v/>
      </c>
      <c r="O62" s="28"/>
    </row>
    <row r="63" spans="1:15" x14ac:dyDescent="0.25">
      <c r="A63" s="74"/>
      <c r="B63" s="74"/>
      <c r="C63" s="75"/>
      <c r="D63" s="76"/>
      <c r="F63" s="93" t="str">
        <f>IFERROR(VLOOKUP(E63,price!A:B,2,0),"")</f>
        <v/>
      </c>
      <c r="G63" s="94"/>
      <c r="H63" s="95" t="str">
        <f t="shared" si="0"/>
        <v/>
      </c>
      <c r="O63" s="28"/>
    </row>
    <row r="64" spans="1:15" x14ac:dyDescent="0.25">
      <c r="A64" s="74"/>
      <c r="B64" s="74"/>
      <c r="C64" s="75"/>
      <c r="D64" s="76"/>
      <c r="F64" s="93" t="str">
        <f>IFERROR(VLOOKUP(E64,price!A:B,2,0),"")</f>
        <v/>
      </c>
      <c r="G64" s="94"/>
      <c r="H64" s="95" t="str">
        <f t="shared" si="0"/>
        <v/>
      </c>
      <c r="O64" s="28"/>
    </row>
    <row r="65" spans="1:15" x14ac:dyDescent="0.25">
      <c r="A65" s="74"/>
      <c r="B65" s="74"/>
      <c r="C65" s="75"/>
      <c r="D65" s="76"/>
      <c r="F65" s="93" t="str">
        <f>IFERROR(VLOOKUP(E65,price!A:B,2,0),"")</f>
        <v/>
      </c>
      <c r="G65" s="94"/>
      <c r="H65" s="95" t="str">
        <f t="shared" si="0"/>
        <v/>
      </c>
      <c r="O65" s="28"/>
    </row>
    <row r="66" spans="1:15" x14ac:dyDescent="0.25">
      <c r="A66" s="74"/>
      <c r="B66" s="74"/>
      <c r="C66" s="75"/>
      <c r="D66" s="76"/>
      <c r="F66" s="93" t="str">
        <f>IFERROR(VLOOKUP(E66,price!A:B,2,0),"")</f>
        <v/>
      </c>
      <c r="G66" s="94"/>
      <c r="H66" s="95" t="str">
        <f t="shared" si="0"/>
        <v/>
      </c>
      <c r="O66" s="28"/>
    </row>
    <row r="67" spans="1:15" x14ac:dyDescent="0.25">
      <c r="A67" s="74"/>
      <c r="B67" s="74"/>
      <c r="C67" s="75"/>
      <c r="D67" s="76"/>
      <c r="F67" s="93" t="str">
        <f>IFERROR(VLOOKUP(E67,price!A:B,2,0),"")</f>
        <v/>
      </c>
      <c r="G67" s="94"/>
      <c r="H67" s="95" t="str">
        <f t="shared" si="0"/>
        <v/>
      </c>
      <c r="O67" s="28"/>
    </row>
    <row r="68" spans="1:15" x14ac:dyDescent="0.25">
      <c r="A68" s="74"/>
      <c r="B68" s="74"/>
      <c r="C68" s="75"/>
      <c r="D68" s="76"/>
      <c r="F68" s="93" t="str">
        <f>IFERROR(VLOOKUP(E68,price!A:B,2,0),"")</f>
        <v/>
      </c>
      <c r="G68" s="94"/>
      <c r="H68" s="95" t="str">
        <f t="shared" ref="H68:H131" si="1">IFERROR(F68-(F68*G68),"")</f>
        <v/>
      </c>
      <c r="O68" s="28"/>
    </row>
    <row r="69" spans="1:15" x14ac:dyDescent="0.25">
      <c r="A69" s="74"/>
      <c r="B69" s="74"/>
      <c r="C69" s="75"/>
      <c r="D69" s="76"/>
      <c r="F69" s="93" t="str">
        <f>IFERROR(VLOOKUP(E69,price!A:B,2,0),"")</f>
        <v/>
      </c>
      <c r="G69" s="94"/>
      <c r="H69" s="95" t="str">
        <f t="shared" si="1"/>
        <v/>
      </c>
      <c r="O69" s="28"/>
    </row>
    <row r="70" spans="1:15" x14ac:dyDescent="0.25">
      <c r="A70" s="74"/>
      <c r="B70" s="74"/>
      <c r="C70" s="75"/>
      <c r="D70" s="76"/>
      <c r="F70" s="93" t="str">
        <f>IFERROR(VLOOKUP(E70,price!A:B,2,0),"")</f>
        <v/>
      </c>
      <c r="G70" s="94"/>
      <c r="H70" s="95" t="str">
        <f t="shared" si="1"/>
        <v/>
      </c>
      <c r="O70" s="28"/>
    </row>
    <row r="71" spans="1:15" x14ac:dyDescent="0.25">
      <c r="A71" s="74"/>
      <c r="B71" s="74"/>
      <c r="C71" s="75"/>
      <c r="D71" s="76"/>
      <c r="F71" s="93" t="str">
        <f>IFERROR(VLOOKUP(E71,price!A:B,2,0),"")</f>
        <v/>
      </c>
      <c r="G71" s="94"/>
      <c r="H71" s="95" t="str">
        <f t="shared" si="1"/>
        <v/>
      </c>
      <c r="O71" s="28"/>
    </row>
    <row r="72" spans="1:15" x14ac:dyDescent="0.25">
      <c r="A72" s="74"/>
      <c r="B72" s="74"/>
      <c r="C72" s="75"/>
      <c r="D72" s="76"/>
      <c r="F72" s="93" t="str">
        <f>IFERROR(VLOOKUP(E72,price!A:B,2,0),"")</f>
        <v/>
      </c>
      <c r="G72" s="94"/>
      <c r="H72" s="95" t="str">
        <f t="shared" si="1"/>
        <v/>
      </c>
      <c r="O72" s="28"/>
    </row>
    <row r="73" spans="1:15" x14ac:dyDescent="0.25">
      <c r="A73" s="74"/>
      <c r="B73" s="74"/>
      <c r="C73" s="75"/>
      <c r="D73" s="76"/>
      <c r="F73" s="93" t="str">
        <f>IFERROR(VLOOKUP(E73,price!A:B,2,0),"")</f>
        <v/>
      </c>
      <c r="G73" s="94"/>
      <c r="H73" s="95" t="str">
        <f t="shared" si="1"/>
        <v/>
      </c>
      <c r="O73" s="28"/>
    </row>
    <row r="74" spans="1:15" x14ac:dyDescent="0.25">
      <c r="A74" s="74"/>
      <c r="B74" s="74"/>
      <c r="C74" s="75"/>
      <c r="D74" s="76"/>
      <c r="F74" s="93" t="str">
        <f>IFERROR(VLOOKUP(E74,price!A:B,2,0),"")</f>
        <v/>
      </c>
      <c r="G74" s="94"/>
      <c r="H74" s="95" t="str">
        <f t="shared" si="1"/>
        <v/>
      </c>
      <c r="O74" s="28"/>
    </row>
    <row r="75" spans="1:15" x14ac:dyDescent="0.25">
      <c r="A75" s="74"/>
      <c r="B75" s="74"/>
      <c r="C75" s="75"/>
      <c r="D75" s="76"/>
      <c r="F75" s="93" t="str">
        <f>IFERROR(VLOOKUP(E75,price!A:B,2,0),"")</f>
        <v/>
      </c>
      <c r="G75" s="94"/>
      <c r="H75" s="95" t="str">
        <f t="shared" si="1"/>
        <v/>
      </c>
      <c r="O75" s="28"/>
    </row>
    <row r="76" spans="1:15" x14ac:dyDescent="0.25">
      <c r="A76" s="74"/>
      <c r="B76" s="74"/>
      <c r="C76" s="75"/>
      <c r="D76" s="76"/>
      <c r="F76" s="93" t="str">
        <f>IFERROR(VLOOKUP(E76,price!A:B,2,0),"")</f>
        <v/>
      </c>
      <c r="G76" s="94"/>
      <c r="H76" s="95" t="str">
        <f t="shared" si="1"/>
        <v/>
      </c>
      <c r="O76" s="28"/>
    </row>
    <row r="77" spans="1:15" x14ac:dyDescent="0.25">
      <c r="A77" s="74"/>
      <c r="B77" s="74"/>
      <c r="C77" s="75"/>
      <c r="D77" s="76"/>
      <c r="F77" s="93" t="str">
        <f>IFERROR(VLOOKUP(E77,price!A:B,2,0),"")</f>
        <v/>
      </c>
      <c r="G77" s="94"/>
      <c r="H77" s="95" t="str">
        <f t="shared" si="1"/>
        <v/>
      </c>
      <c r="O77" s="28"/>
    </row>
    <row r="78" spans="1:15" x14ac:dyDescent="0.25">
      <c r="A78" s="74"/>
      <c r="B78" s="74"/>
      <c r="C78" s="75"/>
      <c r="D78" s="76"/>
      <c r="F78" s="93" t="str">
        <f>IFERROR(VLOOKUP(E78,price!A:B,2,0),"")</f>
        <v/>
      </c>
      <c r="G78" s="94"/>
      <c r="H78" s="95" t="str">
        <f t="shared" si="1"/>
        <v/>
      </c>
      <c r="O78" s="28"/>
    </row>
    <row r="79" spans="1:15" x14ac:dyDescent="0.25">
      <c r="A79" s="74"/>
      <c r="B79" s="74"/>
      <c r="C79" s="75"/>
      <c r="D79" s="76"/>
      <c r="F79" s="93" t="str">
        <f>IFERROR(VLOOKUP(E79,price!A:B,2,0),"")</f>
        <v/>
      </c>
      <c r="G79" s="94"/>
      <c r="H79" s="95" t="str">
        <f t="shared" si="1"/>
        <v/>
      </c>
      <c r="O79" s="28"/>
    </row>
    <row r="80" spans="1:15" x14ac:dyDescent="0.25">
      <c r="A80" s="74"/>
      <c r="B80" s="74"/>
      <c r="C80" s="75"/>
      <c r="D80" s="76"/>
      <c r="F80" s="93" t="str">
        <f>IFERROR(VLOOKUP(E80,price!A:B,2,0),"")</f>
        <v/>
      </c>
      <c r="G80" s="94"/>
      <c r="H80" s="95" t="str">
        <f t="shared" si="1"/>
        <v/>
      </c>
      <c r="O80" s="28"/>
    </row>
    <row r="81" spans="1:15" x14ac:dyDescent="0.25">
      <c r="A81" s="74"/>
      <c r="B81" s="74"/>
      <c r="C81" s="75"/>
      <c r="D81" s="76"/>
      <c r="F81" s="93" t="str">
        <f>IFERROR(VLOOKUP(E81,price!A:B,2,0),"")</f>
        <v/>
      </c>
      <c r="G81" s="94"/>
      <c r="H81" s="95" t="str">
        <f t="shared" si="1"/>
        <v/>
      </c>
      <c r="O81" s="28"/>
    </row>
    <row r="82" spans="1:15" x14ac:dyDescent="0.25">
      <c r="A82" s="74"/>
      <c r="B82" s="74"/>
      <c r="C82" s="75"/>
      <c r="D82" s="76"/>
      <c r="F82" s="93" t="str">
        <f>IFERROR(VLOOKUP(E82,price!A:B,2,0),"")</f>
        <v/>
      </c>
      <c r="G82" s="94"/>
      <c r="H82" s="95" t="str">
        <f t="shared" si="1"/>
        <v/>
      </c>
      <c r="O82" s="28"/>
    </row>
    <row r="83" spans="1:15" x14ac:dyDescent="0.25">
      <c r="A83" s="74"/>
      <c r="B83" s="74"/>
      <c r="C83" s="75"/>
      <c r="D83" s="76"/>
      <c r="F83" s="93" t="str">
        <f>IFERROR(VLOOKUP(E83,price!A:B,2,0),"")</f>
        <v/>
      </c>
      <c r="G83" s="94"/>
      <c r="H83" s="95" t="str">
        <f t="shared" si="1"/>
        <v/>
      </c>
      <c r="O83" s="28"/>
    </row>
    <row r="84" spans="1:15" x14ac:dyDescent="0.25">
      <c r="A84" s="74"/>
      <c r="B84" s="74"/>
      <c r="C84" s="75"/>
      <c r="D84" s="76"/>
      <c r="F84" s="93" t="str">
        <f>IFERROR(VLOOKUP(E84,price!A:B,2,0),"")</f>
        <v/>
      </c>
      <c r="G84" s="94"/>
      <c r="H84" s="95" t="str">
        <f t="shared" si="1"/>
        <v/>
      </c>
      <c r="O84" s="28"/>
    </row>
    <row r="85" spans="1:15" x14ac:dyDescent="0.25">
      <c r="A85" s="74"/>
      <c r="B85" s="74"/>
      <c r="C85" s="75"/>
      <c r="D85" s="76"/>
      <c r="F85" s="93" t="str">
        <f>IFERROR(VLOOKUP(E85,price!A:B,2,0),"")</f>
        <v/>
      </c>
      <c r="G85" s="94"/>
      <c r="H85" s="95" t="str">
        <f t="shared" si="1"/>
        <v/>
      </c>
      <c r="O85" s="28"/>
    </row>
    <row r="86" spans="1:15" x14ac:dyDescent="0.25">
      <c r="A86" s="74"/>
      <c r="B86" s="74"/>
      <c r="C86" s="75"/>
      <c r="D86" s="76"/>
      <c r="F86" s="93" t="str">
        <f>IFERROR(VLOOKUP(E86,price!A:B,2,0),"")</f>
        <v/>
      </c>
      <c r="G86" s="94"/>
      <c r="H86" s="95" t="str">
        <f t="shared" si="1"/>
        <v/>
      </c>
      <c r="O86" s="28"/>
    </row>
    <row r="87" spans="1:15" x14ac:dyDescent="0.25">
      <c r="A87" s="74"/>
      <c r="B87" s="74"/>
      <c r="C87" s="75"/>
      <c r="D87" s="76"/>
      <c r="F87" s="93" t="str">
        <f>IFERROR(VLOOKUP(E87,price!A:B,2,0),"")</f>
        <v/>
      </c>
      <c r="G87" s="94"/>
      <c r="H87" s="95" t="str">
        <f t="shared" si="1"/>
        <v/>
      </c>
      <c r="O87" s="28"/>
    </row>
    <row r="88" spans="1:15" x14ac:dyDescent="0.25">
      <c r="A88" s="74"/>
      <c r="B88" s="74"/>
      <c r="C88" s="75"/>
      <c r="D88" s="76"/>
      <c r="F88" s="93" t="str">
        <f>IFERROR(VLOOKUP(E88,price!A:B,2,0),"")</f>
        <v/>
      </c>
      <c r="G88" s="94"/>
      <c r="H88" s="95" t="str">
        <f t="shared" si="1"/>
        <v/>
      </c>
      <c r="O88" s="28"/>
    </row>
    <row r="89" spans="1:15" x14ac:dyDescent="0.25">
      <c r="A89" s="74"/>
      <c r="B89" s="74"/>
      <c r="C89" s="75"/>
      <c r="D89" s="76"/>
      <c r="F89" s="93" t="str">
        <f>IFERROR(VLOOKUP(E89,price!A:B,2,0),"")</f>
        <v/>
      </c>
      <c r="G89" s="94"/>
      <c r="H89" s="95" t="str">
        <f t="shared" si="1"/>
        <v/>
      </c>
      <c r="O89" s="28"/>
    </row>
    <row r="90" spans="1:15" x14ac:dyDescent="0.25">
      <c r="A90" s="74"/>
      <c r="B90" s="74"/>
      <c r="C90" s="75"/>
      <c r="D90" s="76"/>
      <c r="F90" s="93" t="str">
        <f>IFERROR(VLOOKUP(E90,price!A:B,2,0),"")</f>
        <v/>
      </c>
      <c r="G90" s="94"/>
      <c r="H90" s="95" t="str">
        <f t="shared" si="1"/>
        <v/>
      </c>
      <c r="O90" s="28"/>
    </row>
    <row r="91" spans="1:15" x14ac:dyDescent="0.25">
      <c r="A91" s="74"/>
      <c r="B91" s="74"/>
      <c r="C91" s="75"/>
      <c r="D91" s="76"/>
      <c r="F91" s="93" t="str">
        <f>IFERROR(VLOOKUP(E91,price!A:B,2,0),"")</f>
        <v/>
      </c>
      <c r="G91" s="94"/>
      <c r="H91" s="95" t="str">
        <f t="shared" si="1"/>
        <v/>
      </c>
      <c r="O91" s="28"/>
    </row>
    <row r="92" spans="1:15" x14ac:dyDescent="0.25">
      <c r="A92" s="74"/>
      <c r="B92" s="74"/>
      <c r="C92" s="75"/>
      <c r="D92" s="76"/>
      <c r="F92" s="93" t="str">
        <f>IFERROR(VLOOKUP(E92,price!A:B,2,0),"")</f>
        <v/>
      </c>
      <c r="G92" s="94"/>
      <c r="H92" s="95" t="str">
        <f t="shared" si="1"/>
        <v/>
      </c>
      <c r="O92" s="28"/>
    </row>
    <row r="93" spans="1:15" x14ac:dyDescent="0.25">
      <c r="A93" s="74"/>
      <c r="B93" s="74"/>
      <c r="C93" s="75"/>
      <c r="D93" s="76"/>
      <c r="F93" s="93" t="str">
        <f>IFERROR(VLOOKUP(E93,price!A:B,2,0),"")</f>
        <v/>
      </c>
      <c r="G93" s="94"/>
      <c r="H93" s="95" t="str">
        <f t="shared" si="1"/>
        <v/>
      </c>
      <c r="O93" s="28"/>
    </row>
    <row r="94" spans="1:15" x14ac:dyDescent="0.25">
      <c r="A94" s="74"/>
      <c r="B94" s="74"/>
      <c r="C94" s="75"/>
      <c r="D94" s="76"/>
      <c r="F94" s="93" t="str">
        <f>IFERROR(VLOOKUP(E94,price!A:B,2,0),"")</f>
        <v/>
      </c>
      <c r="G94" s="94"/>
      <c r="H94" s="95" t="str">
        <f t="shared" si="1"/>
        <v/>
      </c>
      <c r="O94" s="28"/>
    </row>
    <row r="95" spans="1:15" x14ac:dyDescent="0.25">
      <c r="A95" s="74"/>
      <c r="B95" s="74"/>
      <c r="C95" s="75"/>
      <c r="D95" s="76"/>
      <c r="F95" s="93" t="str">
        <f>IFERROR(VLOOKUP(E95,price!A:B,2,0),"")</f>
        <v/>
      </c>
      <c r="G95" s="94"/>
      <c r="H95" s="95" t="str">
        <f t="shared" si="1"/>
        <v/>
      </c>
      <c r="O95" s="28"/>
    </row>
    <row r="96" spans="1:15" x14ac:dyDescent="0.25">
      <c r="A96" s="74"/>
      <c r="B96" s="74"/>
      <c r="C96" s="75"/>
      <c r="D96" s="76"/>
      <c r="F96" s="93" t="str">
        <f>IFERROR(VLOOKUP(E96,price!A:B,2,0),"")</f>
        <v/>
      </c>
      <c r="G96" s="94"/>
      <c r="H96" s="95" t="str">
        <f t="shared" si="1"/>
        <v/>
      </c>
      <c r="O96" s="28"/>
    </row>
    <row r="97" spans="1:15" x14ac:dyDescent="0.25">
      <c r="A97" s="74"/>
      <c r="B97" s="74"/>
      <c r="C97" s="75"/>
      <c r="D97" s="76"/>
      <c r="F97" s="93" t="str">
        <f>IFERROR(VLOOKUP(E97,price!A:B,2,0),"")</f>
        <v/>
      </c>
      <c r="G97" s="94"/>
      <c r="H97" s="95" t="str">
        <f t="shared" si="1"/>
        <v/>
      </c>
      <c r="O97" s="28"/>
    </row>
    <row r="98" spans="1:15" x14ac:dyDescent="0.25">
      <c r="A98" s="74"/>
      <c r="B98" s="74"/>
      <c r="C98" s="75"/>
      <c r="D98" s="76"/>
      <c r="F98" s="93" t="str">
        <f>IFERROR(VLOOKUP(E98,price!A:B,2,0),"")</f>
        <v/>
      </c>
      <c r="G98" s="94"/>
      <c r="H98" s="95" t="str">
        <f t="shared" si="1"/>
        <v/>
      </c>
      <c r="O98" s="28"/>
    </row>
    <row r="99" spans="1:15" x14ac:dyDescent="0.25">
      <c r="A99" s="74"/>
      <c r="B99" s="74"/>
      <c r="C99" s="75"/>
      <c r="D99" s="76"/>
      <c r="F99" s="93" t="str">
        <f>IFERROR(VLOOKUP(E99,price!A:B,2,0),"")</f>
        <v/>
      </c>
      <c r="G99" s="94"/>
      <c r="H99" s="95" t="str">
        <f t="shared" si="1"/>
        <v/>
      </c>
      <c r="O99" s="28"/>
    </row>
    <row r="100" spans="1:15" x14ac:dyDescent="0.25">
      <c r="A100" s="74"/>
      <c r="B100" s="74"/>
      <c r="C100" s="75"/>
      <c r="D100" s="76"/>
      <c r="F100" s="93" t="str">
        <f>IFERROR(VLOOKUP(E100,price!A:B,2,0),"")</f>
        <v/>
      </c>
      <c r="G100" s="94"/>
      <c r="H100" s="95" t="str">
        <f t="shared" si="1"/>
        <v/>
      </c>
      <c r="O100" s="28"/>
    </row>
    <row r="101" spans="1:15" x14ac:dyDescent="0.25">
      <c r="A101" s="74"/>
      <c r="B101" s="74"/>
      <c r="C101" s="75"/>
      <c r="D101" s="76"/>
      <c r="F101" s="93" t="str">
        <f>IFERROR(VLOOKUP(E101,price!A:B,2,0),"")</f>
        <v/>
      </c>
      <c r="G101" s="94"/>
      <c r="H101" s="95" t="str">
        <f t="shared" si="1"/>
        <v/>
      </c>
      <c r="O101" s="28"/>
    </row>
    <row r="102" spans="1:15" x14ac:dyDescent="0.25">
      <c r="A102" s="74"/>
      <c r="B102" s="74"/>
      <c r="C102" s="75"/>
      <c r="D102" s="76"/>
      <c r="F102" s="93" t="str">
        <f>IFERROR(VLOOKUP(E102,price!A:B,2,0),"")</f>
        <v/>
      </c>
      <c r="G102" s="94"/>
      <c r="H102" s="95" t="str">
        <f t="shared" si="1"/>
        <v/>
      </c>
      <c r="O102" s="28"/>
    </row>
    <row r="103" spans="1:15" x14ac:dyDescent="0.25">
      <c r="A103" s="74"/>
      <c r="B103" s="74"/>
      <c r="C103" s="75"/>
      <c r="D103" s="76"/>
      <c r="F103" s="93" t="str">
        <f>IFERROR(VLOOKUP(E103,price!A:B,2,0),"")</f>
        <v/>
      </c>
      <c r="G103" s="94"/>
      <c r="H103" s="95" t="str">
        <f t="shared" si="1"/>
        <v/>
      </c>
      <c r="O103" s="28"/>
    </row>
    <row r="104" spans="1:15" x14ac:dyDescent="0.25">
      <c r="A104" s="74"/>
      <c r="B104" s="74"/>
      <c r="C104" s="75"/>
      <c r="D104" s="76"/>
      <c r="F104" s="93" t="str">
        <f>IFERROR(VLOOKUP(E104,price!A:B,2,0),"")</f>
        <v/>
      </c>
      <c r="G104" s="94"/>
      <c r="H104" s="95" t="str">
        <f t="shared" si="1"/>
        <v/>
      </c>
      <c r="O104" s="28"/>
    </row>
    <row r="105" spans="1:15" x14ac:dyDescent="0.25">
      <c r="A105" s="74"/>
      <c r="B105" s="74"/>
      <c r="C105" s="75"/>
      <c r="D105" s="76"/>
      <c r="F105" s="93" t="str">
        <f>IFERROR(VLOOKUP(E105,price!A:B,2,0),"")</f>
        <v/>
      </c>
      <c r="G105" s="94"/>
      <c r="H105" s="95" t="str">
        <f t="shared" si="1"/>
        <v/>
      </c>
      <c r="O105" s="28"/>
    </row>
    <row r="106" spans="1:15" x14ac:dyDescent="0.25">
      <c r="A106" s="74"/>
      <c r="B106" s="74"/>
      <c r="C106" s="75"/>
      <c r="D106" s="76"/>
      <c r="F106" s="93" t="str">
        <f>IFERROR(VLOOKUP(E106,price!A:B,2,0),"")</f>
        <v/>
      </c>
      <c r="G106" s="94"/>
      <c r="H106" s="95" t="str">
        <f t="shared" si="1"/>
        <v/>
      </c>
      <c r="O106" s="28"/>
    </row>
    <row r="107" spans="1:15" x14ac:dyDescent="0.25">
      <c r="A107" s="74"/>
      <c r="B107" s="74"/>
      <c r="C107" s="75"/>
      <c r="D107" s="76"/>
      <c r="F107" s="93" t="str">
        <f>IFERROR(VLOOKUP(E107,price!A:B,2,0),"")</f>
        <v/>
      </c>
      <c r="G107" s="94"/>
      <c r="H107" s="95" t="str">
        <f t="shared" si="1"/>
        <v/>
      </c>
      <c r="O107" s="28"/>
    </row>
    <row r="108" spans="1:15" x14ac:dyDescent="0.25">
      <c r="A108" s="74"/>
      <c r="B108" s="74"/>
      <c r="C108" s="75"/>
      <c r="D108" s="76"/>
      <c r="F108" s="93" t="str">
        <f>IFERROR(VLOOKUP(E108,price!A:B,2,0),"")</f>
        <v/>
      </c>
      <c r="G108" s="94"/>
      <c r="H108" s="95" t="str">
        <f t="shared" si="1"/>
        <v/>
      </c>
      <c r="O108" s="28"/>
    </row>
    <row r="109" spans="1:15" x14ac:dyDescent="0.25">
      <c r="A109" s="74"/>
      <c r="B109" s="74"/>
      <c r="C109" s="75"/>
      <c r="D109" s="76"/>
      <c r="F109" s="93" t="str">
        <f>IFERROR(VLOOKUP(E109,price!A:B,2,0),"")</f>
        <v/>
      </c>
      <c r="G109" s="94"/>
      <c r="H109" s="95" t="str">
        <f t="shared" si="1"/>
        <v/>
      </c>
      <c r="O109" s="28"/>
    </row>
    <row r="110" spans="1:15" x14ac:dyDescent="0.25">
      <c r="A110" s="74"/>
      <c r="B110" s="74"/>
      <c r="C110" s="75"/>
      <c r="D110" s="76"/>
      <c r="F110" s="93" t="str">
        <f>IFERROR(VLOOKUP(E110,price!A:B,2,0),"")</f>
        <v/>
      </c>
      <c r="G110" s="94"/>
      <c r="H110" s="95" t="str">
        <f t="shared" si="1"/>
        <v/>
      </c>
      <c r="O110" s="28"/>
    </row>
    <row r="111" spans="1:15" x14ac:dyDescent="0.25">
      <c r="A111" s="74"/>
      <c r="B111" s="74"/>
      <c r="C111" s="75"/>
      <c r="D111" s="76"/>
      <c r="F111" s="93" t="str">
        <f>IFERROR(VLOOKUP(E111,price!A:B,2,0),"")</f>
        <v/>
      </c>
      <c r="G111" s="94"/>
      <c r="H111" s="95" t="str">
        <f t="shared" si="1"/>
        <v/>
      </c>
      <c r="O111" s="28"/>
    </row>
    <row r="112" spans="1:15" x14ac:dyDescent="0.25">
      <c r="A112" s="74"/>
      <c r="B112" s="74"/>
      <c r="C112" s="75"/>
      <c r="D112" s="76"/>
      <c r="F112" s="93" t="str">
        <f>IFERROR(VLOOKUP(E112,price!A:B,2,0),"")</f>
        <v/>
      </c>
      <c r="G112" s="94"/>
      <c r="H112" s="95" t="str">
        <f t="shared" si="1"/>
        <v/>
      </c>
      <c r="O112" s="28"/>
    </row>
    <row r="113" spans="1:15" x14ac:dyDescent="0.25">
      <c r="A113" s="74"/>
      <c r="B113" s="74"/>
      <c r="C113" s="75"/>
      <c r="D113" s="76"/>
      <c r="F113" s="93" t="str">
        <f>IFERROR(VLOOKUP(E113,price!A:B,2,0),"")</f>
        <v/>
      </c>
      <c r="G113" s="94"/>
      <c r="H113" s="95" t="str">
        <f t="shared" si="1"/>
        <v/>
      </c>
      <c r="O113" s="28"/>
    </row>
    <row r="114" spans="1:15" x14ac:dyDescent="0.25">
      <c r="A114" s="74"/>
      <c r="B114" s="74"/>
      <c r="C114" s="75"/>
      <c r="D114" s="76"/>
      <c r="F114" s="93" t="str">
        <f>IFERROR(VLOOKUP(E114,price!A:B,2,0),"")</f>
        <v/>
      </c>
      <c r="G114" s="94"/>
      <c r="H114" s="95" t="str">
        <f t="shared" si="1"/>
        <v/>
      </c>
      <c r="O114" s="28"/>
    </row>
    <row r="115" spans="1:15" x14ac:dyDescent="0.25">
      <c r="A115" s="74"/>
      <c r="B115" s="74"/>
      <c r="C115" s="75"/>
      <c r="D115" s="76"/>
      <c r="F115" s="93" t="str">
        <f>IFERROR(VLOOKUP(E115,price!A:B,2,0),"")</f>
        <v/>
      </c>
      <c r="G115" s="94"/>
      <c r="H115" s="95" t="str">
        <f t="shared" si="1"/>
        <v/>
      </c>
      <c r="O115" s="28"/>
    </row>
    <row r="116" spans="1:15" x14ac:dyDescent="0.25">
      <c r="A116" s="74"/>
      <c r="B116" s="74"/>
      <c r="C116" s="75"/>
      <c r="D116" s="76"/>
      <c r="F116" s="93" t="str">
        <f>IFERROR(VLOOKUP(E116,price!A:B,2,0),"")</f>
        <v/>
      </c>
      <c r="G116" s="94"/>
      <c r="H116" s="95" t="str">
        <f t="shared" si="1"/>
        <v/>
      </c>
      <c r="O116" s="28"/>
    </row>
    <row r="117" spans="1:15" x14ac:dyDescent="0.25">
      <c r="A117" s="74"/>
      <c r="B117" s="74"/>
      <c r="C117" s="75"/>
      <c r="D117" s="76"/>
      <c r="F117" s="93" t="str">
        <f>IFERROR(VLOOKUP(E117,price!A:B,2,0),"")</f>
        <v/>
      </c>
      <c r="G117" s="94"/>
      <c r="H117" s="95" t="str">
        <f t="shared" si="1"/>
        <v/>
      </c>
      <c r="O117" s="28"/>
    </row>
    <row r="118" spans="1:15" x14ac:dyDescent="0.25">
      <c r="A118" s="74"/>
      <c r="B118" s="74"/>
      <c r="C118" s="75"/>
      <c r="D118" s="76"/>
      <c r="F118" s="93" t="str">
        <f>IFERROR(VLOOKUP(E118,price!A:B,2,0),"")</f>
        <v/>
      </c>
      <c r="G118" s="94"/>
      <c r="H118" s="95" t="str">
        <f t="shared" si="1"/>
        <v/>
      </c>
      <c r="O118" s="28"/>
    </row>
    <row r="119" spans="1:15" x14ac:dyDescent="0.25">
      <c r="A119" s="74"/>
      <c r="B119" s="74"/>
      <c r="C119" s="75"/>
      <c r="D119" s="76"/>
      <c r="F119" s="93" t="str">
        <f>IFERROR(VLOOKUP(E119,price!A:B,2,0),"")</f>
        <v/>
      </c>
      <c r="G119" s="94"/>
      <c r="H119" s="95" t="str">
        <f t="shared" si="1"/>
        <v/>
      </c>
      <c r="O119" s="28"/>
    </row>
    <row r="120" spans="1:15" x14ac:dyDescent="0.25">
      <c r="A120" s="74"/>
      <c r="B120" s="74"/>
      <c r="C120" s="75"/>
      <c r="D120" s="76"/>
      <c r="F120" s="93" t="str">
        <f>IFERROR(VLOOKUP(E120,price!A:B,2,0),"")</f>
        <v/>
      </c>
      <c r="G120" s="94"/>
      <c r="H120" s="95" t="str">
        <f t="shared" si="1"/>
        <v/>
      </c>
      <c r="O120" s="28"/>
    </row>
    <row r="121" spans="1:15" x14ac:dyDescent="0.25">
      <c r="A121" s="74"/>
      <c r="B121" s="74"/>
      <c r="C121" s="75"/>
      <c r="D121" s="76"/>
      <c r="F121" s="93" t="str">
        <f>IFERROR(VLOOKUP(E121,price!A:B,2,0),"")</f>
        <v/>
      </c>
      <c r="G121" s="94"/>
      <c r="H121" s="95" t="str">
        <f t="shared" si="1"/>
        <v/>
      </c>
      <c r="O121" s="28"/>
    </row>
    <row r="122" spans="1:15" x14ac:dyDescent="0.25">
      <c r="A122" s="74"/>
      <c r="B122" s="74"/>
      <c r="C122" s="75"/>
      <c r="D122" s="76"/>
      <c r="F122" s="93" t="str">
        <f>IFERROR(VLOOKUP(E122,price!A:B,2,0),"")</f>
        <v/>
      </c>
      <c r="G122" s="94"/>
      <c r="H122" s="95" t="str">
        <f t="shared" si="1"/>
        <v/>
      </c>
      <c r="O122" s="28"/>
    </row>
    <row r="123" spans="1:15" x14ac:dyDescent="0.25">
      <c r="A123" s="74"/>
      <c r="B123" s="74"/>
      <c r="C123" s="75"/>
      <c r="D123" s="76"/>
      <c r="F123" s="93" t="str">
        <f>IFERROR(VLOOKUP(E123,price!A:B,2,0),"")</f>
        <v/>
      </c>
      <c r="G123" s="94"/>
      <c r="H123" s="95" t="str">
        <f t="shared" si="1"/>
        <v/>
      </c>
      <c r="O123" s="28"/>
    </row>
    <row r="124" spans="1:15" x14ac:dyDescent="0.25">
      <c r="A124" s="74"/>
      <c r="B124" s="74"/>
      <c r="C124" s="75"/>
      <c r="D124" s="76"/>
      <c r="F124" s="93" t="str">
        <f>IFERROR(VLOOKUP(E124,price!A:B,2,0),"")</f>
        <v/>
      </c>
      <c r="G124" s="94"/>
      <c r="H124" s="95" t="str">
        <f t="shared" si="1"/>
        <v/>
      </c>
      <c r="O124" s="28"/>
    </row>
    <row r="125" spans="1:15" x14ac:dyDescent="0.25">
      <c r="A125" s="74"/>
      <c r="B125" s="74"/>
      <c r="C125" s="75"/>
      <c r="D125" s="76"/>
      <c r="F125" s="93" t="str">
        <f>IFERROR(VLOOKUP(E125,price!A:B,2,0),"")</f>
        <v/>
      </c>
      <c r="G125" s="94"/>
      <c r="H125" s="95" t="str">
        <f t="shared" si="1"/>
        <v/>
      </c>
      <c r="O125" s="28"/>
    </row>
    <row r="126" spans="1:15" x14ac:dyDescent="0.25">
      <c r="A126" s="74"/>
      <c r="B126" s="74"/>
      <c r="C126" s="75"/>
      <c r="D126" s="76"/>
      <c r="F126" s="93" t="str">
        <f>IFERROR(VLOOKUP(E126,price!A:B,2,0),"")</f>
        <v/>
      </c>
      <c r="G126" s="94"/>
      <c r="H126" s="95" t="str">
        <f t="shared" si="1"/>
        <v/>
      </c>
      <c r="O126" s="28"/>
    </row>
    <row r="127" spans="1:15" x14ac:dyDescent="0.25">
      <c r="A127" s="74"/>
      <c r="B127" s="74"/>
      <c r="C127" s="75"/>
      <c r="D127" s="76"/>
      <c r="F127" s="93" t="str">
        <f>IFERROR(VLOOKUP(E127,price!A:B,2,0),"")</f>
        <v/>
      </c>
      <c r="G127" s="94"/>
      <c r="H127" s="95" t="str">
        <f t="shared" si="1"/>
        <v/>
      </c>
      <c r="O127" s="28"/>
    </row>
    <row r="128" spans="1:15" x14ac:dyDescent="0.25">
      <c r="A128" s="74"/>
      <c r="B128" s="74"/>
      <c r="C128" s="75"/>
      <c r="D128" s="76"/>
      <c r="F128" s="93" t="str">
        <f>IFERROR(VLOOKUP(E128,price!A:B,2,0),"")</f>
        <v/>
      </c>
      <c r="G128" s="94"/>
      <c r="H128" s="95" t="str">
        <f t="shared" si="1"/>
        <v/>
      </c>
      <c r="O128" s="28"/>
    </row>
    <row r="129" spans="1:15" x14ac:dyDescent="0.25">
      <c r="A129" s="74"/>
      <c r="B129" s="74"/>
      <c r="C129" s="75"/>
      <c r="D129" s="76"/>
      <c r="F129" s="93" t="str">
        <f>IFERROR(VLOOKUP(E129,price!A:B,2,0),"")</f>
        <v/>
      </c>
      <c r="G129" s="94"/>
      <c r="H129" s="95" t="str">
        <f t="shared" si="1"/>
        <v/>
      </c>
      <c r="O129" s="28"/>
    </row>
    <row r="130" spans="1:15" x14ac:dyDescent="0.25">
      <c r="A130" s="74"/>
      <c r="B130" s="74"/>
      <c r="C130" s="75"/>
      <c r="D130" s="76"/>
      <c r="F130" s="93" t="str">
        <f>IFERROR(VLOOKUP(E130,price!A:B,2,0),"")</f>
        <v/>
      </c>
      <c r="G130" s="94"/>
      <c r="H130" s="95" t="str">
        <f t="shared" si="1"/>
        <v/>
      </c>
      <c r="O130" s="28"/>
    </row>
    <row r="131" spans="1:15" x14ac:dyDescent="0.25">
      <c r="A131" s="74"/>
      <c r="B131" s="74"/>
      <c r="C131" s="75"/>
      <c r="D131" s="76"/>
      <c r="F131" s="93" t="str">
        <f>IFERROR(VLOOKUP(E131,price!A:B,2,0),"")</f>
        <v/>
      </c>
      <c r="G131" s="94"/>
      <c r="H131" s="95" t="str">
        <f t="shared" si="1"/>
        <v/>
      </c>
      <c r="O131" s="28"/>
    </row>
    <row r="132" spans="1:15" x14ac:dyDescent="0.25">
      <c r="A132" s="74"/>
      <c r="B132" s="74"/>
      <c r="C132" s="75"/>
      <c r="D132" s="76"/>
      <c r="F132" s="93" t="str">
        <f>IFERROR(VLOOKUP(E132,price!A:B,2,0),"")</f>
        <v/>
      </c>
      <c r="G132" s="94"/>
      <c r="H132" s="95" t="str">
        <f t="shared" ref="H132:H195" si="2">IFERROR(F132-(F132*G132),"")</f>
        <v/>
      </c>
      <c r="O132" s="28"/>
    </row>
    <row r="133" spans="1:15" x14ac:dyDescent="0.25">
      <c r="A133" s="74"/>
      <c r="B133" s="74"/>
      <c r="C133" s="75"/>
      <c r="D133" s="76"/>
      <c r="F133" s="93" t="str">
        <f>IFERROR(VLOOKUP(E133,price!A:B,2,0),"")</f>
        <v/>
      </c>
      <c r="G133" s="94"/>
      <c r="H133" s="95" t="str">
        <f t="shared" si="2"/>
        <v/>
      </c>
      <c r="O133" s="28"/>
    </row>
    <row r="134" spans="1:15" x14ac:dyDescent="0.25">
      <c r="A134" s="74"/>
      <c r="B134" s="74"/>
      <c r="C134" s="75"/>
      <c r="D134" s="76"/>
      <c r="F134" s="93" t="str">
        <f>IFERROR(VLOOKUP(E134,price!A:B,2,0),"")</f>
        <v/>
      </c>
      <c r="G134" s="94"/>
      <c r="H134" s="95" t="str">
        <f t="shared" si="2"/>
        <v/>
      </c>
      <c r="O134" s="28"/>
    </row>
    <row r="135" spans="1:15" x14ac:dyDescent="0.25">
      <c r="A135" s="74"/>
      <c r="B135" s="74"/>
      <c r="C135" s="75"/>
      <c r="D135" s="76"/>
      <c r="F135" s="93" t="str">
        <f>IFERROR(VLOOKUP(E135,price!A:B,2,0),"")</f>
        <v/>
      </c>
      <c r="G135" s="94"/>
      <c r="H135" s="95" t="str">
        <f t="shared" si="2"/>
        <v/>
      </c>
      <c r="O135" s="28"/>
    </row>
    <row r="136" spans="1:15" x14ac:dyDescent="0.25">
      <c r="A136" s="74"/>
      <c r="B136" s="74"/>
      <c r="C136" s="75"/>
      <c r="D136" s="76"/>
      <c r="F136" s="93" t="str">
        <f>IFERROR(VLOOKUP(E136,price!A:B,2,0),"")</f>
        <v/>
      </c>
      <c r="G136" s="94"/>
      <c r="H136" s="95" t="str">
        <f t="shared" si="2"/>
        <v/>
      </c>
      <c r="O136" s="28"/>
    </row>
    <row r="137" spans="1:15" x14ac:dyDescent="0.25">
      <c r="A137" s="74"/>
      <c r="B137" s="74"/>
      <c r="C137" s="75"/>
      <c r="D137" s="76"/>
      <c r="F137" s="93" t="str">
        <f>IFERROR(VLOOKUP(E137,price!A:B,2,0),"")</f>
        <v/>
      </c>
      <c r="G137" s="94"/>
      <c r="H137" s="95" t="str">
        <f t="shared" si="2"/>
        <v/>
      </c>
      <c r="O137" s="28"/>
    </row>
    <row r="138" spans="1:15" x14ac:dyDescent="0.25">
      <c r="A138" s="74"/>
      <c r="B138" s="74"/>
      <c r="C138" s="75"/>
      <c r="D138" s="76"/>
      <c r="F138" s="93" t="str">
        <f>IFERROR(VLOOKUP(E138,price!A:B,2,0),"")</f>
        <v/>
      </c>
      <c r="G138" s="94"/>
      <c r="H138" s="95" t="str">
        <f t="shared" si="2"/>
        <v/>
      </c>
      <c r="O138" s="28"/>
    </row>
    <row r="139" spans="1:15" x14ac:dyDescent="0.25">
      <c r="A139" s="74"/>
      <c r="B139" s="74"/>
      <c r="C139" s="75"/>
      <c r="D139" s="76"/>
      <c r="F139" s="93" t="str">
        <f>IFERROR(VLOOKUP(E139,price!A:B,2,0),"")</f>
        <v/>
      </c>
      <c r="G139" s="94"/>
      <c r="H139" s="95" t="str">
        <f t="shared" si="2"/>
        <v/>
      </c>
      <c r="O139" s="28"/>
    </row>
    <row r="140" spans="1:15" x14ac:dyDescent="0.25">
      <c r="A140" s="74"/>
      <c r="B140" s="74"/>
      <c r="C140" s="75"/>
      <c r="D140" s="76"/>
      <c r="F140" s="93" t="str">
        <f>IFERROR(VLOOKUP(E140,price!A:B,2,0),"")</f>
        <v/>
      </c>
      <c r="G140" s="94"/>
      <c r="H140" s="95" t="str">
        <f t="shared" si="2"/>
        <v/>
      </c>
      <c r="O140" s="28"/>
    </row>
    <row r="141" spans="1:15" x14ac:dyDescent="0.25">
      <c r="A141" s="74"/>
      <c r="B141" s="74"/>
      <c r="C141" s="75"/>
      <c r="D141" s="76"/>
      <c r="F141" s="93" t="str">
        <f>IFERROR(VLOOKUP(E141,price!A:B,2,0),"")</f>
        <v/>
      </c>
      <c r="G141" s="94"/>
      <c r="H141" s="95" t="str">
        <f t="shared" si="2"/>
        <v/>
      </c>
      <c r="O141" s="28"/>
    </row>
    <row r="142" spans="1:15" x14ac:dyDescent="0.25">
      <c r="A142" s="74"/>
      <c r="B142" s="74"/>
      <c r="C142" s="75"/>
      <c r="D142" s="76"/>
      <c r="F142" s="93" t="str">
        <f>IFERROR(VLOOKUP(E142,price!A:B,2,0),"")</f>
        <v/>
      </c>
      <c r="G142" s="94"/>
      <c r="H142" s="95" t="str">
        <f t="shared" si="2"/>
        <v/>
      </c>
      <c r="O142" s="28"/>
    </row>
    <row r="143" spans="1:15" x14ac:dyDescent="0.25">
      <c r="A143" s="74"/>
      <c r="B143" s="74"/>
      <c r="C143" s="75"/>
      <c r="D143" s="76"/>
      <c r="F143" s="93" t="str">
        <f>IFERROR(VLOOKUP(E143,price!A:B,2,0),"")</f>
        <v/>
      </c>
      <c r="G143" s="94"/>
      <c r="H143" s="95" t="str">
        <f t="shared" si="2"/>
        <v/>
      </c>
      <c r="O143" s="28"/>
    </row>
    <row r="144" spans="1:15" x14ac:dyDescent="0.25">
      <c r="A144" s="74"/>
      <c r="B144" s="74"/>
      <c r="C144" s="75"/>
      <c r="D144" s="76"/>
      <c r="F144" s="93" t="str">
        <f>IFERROR(VLOOKUP(E144,price!A:B,2,0),"")</f>
        <v/>
      </c>
      <c r="G144" s="94"/>
      <c r="H144" s="95" t="str">
        <f t="shared" si="2"/>
        <v/>
      </c>
      <c r="O144" s="28"/>
    </row>
    <row r="145" spans="1:15" x14ac:dyDescent="0.25">
      <c r="A145" s="74"/>
      <c r="B145" s="74"/>
      <c r="C145" s="75"/>
      <c r="D145" s="76"/>
      <c r="F145" s="93" t="str">
        <f>IFERROR(VLOOKUP(E145,price!A:B,2,0),"")</f>
        <v/>
      </c>
      <c r="G145" s="94"/>
      <c r="H145" s="95" t="str">
        <f t="shared" si="2"/>
        <v/>
      </c>
      <c r="O145" s="28"/>
    </row>
    <row r="146" spans="1:15" x14ac:dyDescent="0.25">
      <c r="A146" s="74"/>
      <c r="B146" s="74"/>
      <c r="C146" s="75"/>
      <c r="D146" s="76"/>
      <c r="F146" s="93" t="str">
        <f>IFERROR(VLOOKUP(E146,price!A:B,2,0),"")</f>
        <v/>
      </c>
      <c r="G146" s="94"/>
      <c r="H146" s="95" t="str">
        <f t="shared" si="2"/>
        <v/>
      </c>
      <c r="O146" s="28"/>
    </row>
    <row r="147" spans="1:15" x14ac:dyDescent="0.25">
      <c r="A147" s="74"/>
      <c r="B147" s="74"/>
      <c r="C147" s="75"/>
      <c r="D147" s="76"/>
      <c r="F147" s="93" t="str">
        <f>IFERROR(VLOOKUP(E147,price!A:B,2,0),"")</f>
        <v/>
      </c>
      <c r="G147" s="94"/>
      <c r="H147" s="95" t="str">
        <f t="shared" si="2"/>
        <v/>
      </c>
      <c r="O147" s="28"/>
    </row>
    <row r="148" spans="1:15" x14ac:dyDescent="0.25">
      <c r="A148" s="74"/>
      <c r="B148" s="74"/>
      <c r="C148" s="75"/>
      <c r="D148" s="76"/>
      <c r="F148" s="93" t="str">
        <f>IFERROR(VLOOKUP(E148,price!A:B,2,0),"")</f>
        <v/>
      </c>
      <c r="G148" s="94"/>
      <c r="H148" s="95" t="str">
        <f t="shared" si="2"/>
        <v/>
      </c>
      <c r="O148" s="28"/>
    </row>
    <row r="149" spans="1:15" x14ac:dyDescent="0.25">
      <c r="A149" s="74"/>
      <c r="B149" s="74"/>
      <c r="C149" s="75"/>
      <c r="D149" s="76"/>
      <c r="F149" s="93" t="str">
        <f>IFERROR(VLOOKUP(E149,price!A:B,2,0),"")</f>
        <v/>
      </c>
      <c r="G149" s="94"/>
      <c r="H149" s="95" t="str">
        <f t="shared" si="2"/>
        <v/>
      </c>
      <c r="O149" s="28"/>
    </row>
    <row r="150" spans="1:15" x14ac:dyDescent="0.25">
      <c r="A150" s="74"/>
      <c r="B150" s="74"/>
      <c r="C150" s="75"/>
      <c r="D150" s="76"/>
      <c r="F150" s="93" t="str">
        <f>IFERROR(VLOOKUP(E150,price!A:B,2,0),"")</f>
        <v/>
      </c>
      <c r="G150" s="94"/>
      <c r="H150" s="95" t="str">
        <f t="shared" si="2"/>
        <v/>
      </c>
      <c r="O150" s="28"/>
    </row>
    <row r="151" spans="1:15" x14ac:dyDescent="0.25">
      <c r="A151" s="74"/>
      <c r="B151" s="74"/>
      <c r="C151" s="75"/>
      <c r="D151" s="76"/>
      <c r="F151" s="93" t="str">
        <f>IFERROR(VLOOKUP(E151,price!A:B,2,0),"")</f>
        <v/>
      </c>
      <c r="G151" s="94"/>
      <c r="H151" s="95" t="str">
        <f t="shared" si="2"/>
        <v/>
      </c>
      <c r="O151" s="28"/>
    </row>
    <row r="152" spans="1:15" x14ac:dyDescent="0.25">
      <c r="A152" s="74"/>
      <c r="B152" s="74"/>
      <c r="C152" s="75"/>
      <c r="D152" s="76"/>
      <c r="F152" s="93" t="str">
        <f>IFERROR(VLOOKUP(E152,price!A:B,2,0),"")</f>
        <v/>
      </c>
      <c r="G152" s="94"/>
      <c r="H152" s="95" t="str">
        <f t="shared" si="2"/>
        <v/>
      </c>
      <c r="O152" s="28"/>
    </row>
    <row r="153" spans="1:15" x14ac:dyDescent="0.25">
      <c r="A153" s="74"/>
      <c r="B153" s="74"/>
      <c r="C153" s="75"/>
      <c r="D153" s="76"/>
      <c r="F153" s="93" t="str">
        <f>IFERROR(VLOOKUP(E153,price!A:B,2,0),"")</f>
        <v/>
      </c>
      <c r="G153" s="94"/>
      <c r="H153" s="95" t="str">
        <f t="shared" si="2"/>
        <v/>
      </c>
      <c r="O153" s="28"/>
    </row>
    <row r="154" spans="1:15" x14ac:dyDescent="0.25">
      <c r="A154" s="74"/>
      <c r="B154" s="74"/>
      <c r="C154" s="75"/>
      <c r="D154" s="76"/>
      <c r="F154" s="93" t="str">
        <f>IFERROR(VLOOKUP(E154,price!A:B,2,0),"")</f>
        <v/>
      </c>
      <c r="G154" s="94"/>
      <c r="H154" s="95" t="str">
        <f t="shared" si="2"/>
        <v/>
      </c>
      <c r="O154" s="28"/>
    </row>
    <row r="155" spans="1:15" x14ac:dyDescent="0.25">
      <c r="A155" s="74"/>
      <c r="B155" s="74"/>
      <c r="C155" s="75"/>
      <c r="D155" s="76"/>
      <c r="F155" s="93" t="str">
        <f>IFERROR(VLOOKUP(E155,price!A:B,2,0),"")</f>
        <v/>
      </c>
      <c r="G155" s="94"/>
      <c r="H155" s="95" t="str">
        <f t="shared" si="2"/>
        <v/>
      </c>
      <c r="O155" s="28"/>
    </row>
    <row r="156" spans="1:15" x14ac:dyDescent="0.25">
      <c r="A156" s="74"/>
      <c r="B156" s="74"/>
      <c r="C156" s="75"/>
      <c r="D156" s="76"/>
      <c r="F156" s="93" t="str">
        <f>IFERROR(VLOOKUP(E156,price!A:B,2,0),"")</f>
        <v/>
      </c>
      <c r="G156" s="94"/>
      <c r="H156" s="95" t="str">
        <f t="shared" si="2"/>
        <v/>
      </c>
      <c r="O156" s="28"/>
    </row>
    <row r="157" spans="1:15" x14ac:dyDescent="0.25">
      <c r="A157" s="74"/>
      <c r="B157" s="74"/>
      <c r="C157" s="75"/>
      <c r="D157" s="76"/>
      <c r="F157" s="93" t="str">
        <f>IFERROR(VLOOKUP(E157,price!A:B,2,0),"")</f>
        <v/>
      </c>
      <c r="G157" s="94"/>
      <c r="H157" s="95" t="str">
        <f t="shared" si="2"/>
        <v/>
      </c>
      <c r="O157" s="28"/>
    </row>
    <row r="158" spans="1:15" x14ac:dyDescent="0.25">
      <c r="A158" s="74"/>
      <c r="B158" s="74"/>
      <c r="C158" s="75"/>
      <c r="D158" s="76"/>
      <c r="F158" s="93" t="str">
        <f>IFERROR(VLOOKUP(E158,price!A:B,2,0),"")</f>
        <v/>
      </c>
      <c r="G158" s="94"/>
      <c r="H158" s="95" t="str">
        <f t="shared" si="2"/>
        <v/>
      </c>
      <c r="O158" s="28"/>
    </row>
    <row r="159" spans="1:15" x14ac:dyDescent="0.25">
      <c r="A159" s="74"/>
      <c r="B159" s="74"/>
      <c r="C159" s="75"/>
      <c r="D159" s="76"/>
      <c r="F159" s="93" t="str">
        <f>IFERROR(VLOOKUP(E159,price!A:B,2,0),"")</f>
        <v/>
      </c>
      <c r="G159" s="94"/>
      <c r="H159" s="95" t="str">
        <f t="shared" si="2"/>
        <v/>
      </c>
      <c r="O159" s="28"/>
    </row>
    <row r="160" spans="1:15" x14ac:dyDescent="0.25">
      <c r="A160" s="74"/>
      <c r="B160" s="74"/>
      <c r="C160" s="75"/>
      <c r="D160" s="76"/>
      <c r="F160" s="93" t="str">
        <f>IFERROR(VLOOKUP(E160,price!A:B,2,0),"")</f>
        <v/>
      </c>
      <c r="G160" s="94"/>
      <c r="H160" s="95" t="str">
        <f t="shared" si="2"/>
        <v/>
      </c>
      <c r="O160" s="28"/>
    </row>
    <row r="161" spans="1:15" x14ac:dyDescent="0.25">
      <c r="A161" s="74"/>
      <c r="B161" s="74"/>
      <c r="C161" s="75"/>
      <c r="D161" s="76"/>
      <c r="F161" s="93" t="str">
        <f>IFERROR(VLOOKUP(E161,price!A:B,2,0),"")</f>
        <v/>
      </c>
      <c r="G161" s="94"/>
      <c r="H161" s="95" t="str">
        <f t="shared" si="2"/>
        <v/>
      </c>
      <c r="O161" s="28"/>
    </row>
    <row r="162" spans="1:15" x14ac:dyDescent="0.25">
      <c r="A162" s="74"/>
      <c r="B162" s="74"/>
      <c r="C162" s="75"/>
      <c r="D162" s="76"/>
      <c r="F162" s="93" t="str">
        <f>IFERROR(VLOOKUP(E162,price!A:B,2,0),"")</f>
        <v/>
      </c>
      <c r="G162" s="94"/>
      <c r="H162" s="95" t="str">
        <f t="shared" si="2"/>
        <v/>
      </c>
      <c r="O162" s="28"/>
    </row>
    <row r="163" spans="1:15" x14ac:dyDescent="0.25">
      <c r="A163" s="74"/>
      <c r="B163" s="74"/>
      <c r="C163" s="75"/>
      <c r="D163" s="76"/>
      <c r="F163" s="93" t="str">
        <f>IFERROR(VLOOKUP(E163,price!A:B,2,0),"")</f>
        <v/>
      </c>
      <c r="G163" s="94"/>
      <c r="H163" s="95" t="str">
        <f t="shared" si="2"/>
        <v/>
      </c>
      <c r="O163" s="28"/>
    </row>
    <row r="164" spans="1:15" x14ac:dyDescent="0.25">
      <c r="A164" s="74"/>
      <c r="B164" s="74"/>
      <c r="C164" s="75"/>
      <c r="D164" s="76"/>
      <c r="F164" s="93" t="str">
        <f>IFERROR(VLOOKUP(E164,price!A:B,2,0),"")</f>
        <v/>
      </c>
      <c r="G164" s="94"/>
      <c r="H164" s="95" t="str">
        <f t="shared" si="2"/>
        <v/>
      </c>
      <c r="O164" s="28"/>
    </row>
    <row r="165" spans="1:15" x14ac:dyDescent="0.25">
      <c r="A165" s="74"/>
      <c r="B165" s="74"/>
      <c r="C165" s="75"/>
      <c r="D165" s="76"/>
      <c r="F165" s="93" t="str">
        <f>IFERROR(VLOOKUP(E165,price!A:B,2,0),"")</f>
        <v/>
      </c>
      <c r="G165" s="94"/>
      <c r="H165" s="95" t="str">
        <f t="shared" si="2"/>
        <v/>
      </c>
      <c r="O165" s="28"/>
    </row>
    <row r="166" spans="1:15" x14ac:dyDescent="0.25">
      <c r="A166" s="74"/>
      <c r="B166" s="74"/>
      <c r="C166" s="75"/>
      <c r="D166" s="76"/>
      <c r="F166" s="93" t="str">
        <f>IFERROR(VLOOKUP(E166,price!A:B,2,0),"")</f>
        <v/>
      </c>
      <c r="G166" s="94"/>
      <c r="H166" s="95" t="str">
        <f t="shared" si="2"/>
        <v/>
      </c>
      <c r="O166" s="28"/>
    </row>
    <row r="167" spans="1:15" x14ac:dyDescent="0.25">
      <c r="A167" s="74"/>
      <c r="B167" s="74"/>
      <c r="C167" s="75"/>
      <c r="D167" s="76"/>
      <c r="F167" s="93" t="str">
        <f>IFERROR(VLOOKUP(E167,price!A:B,2,0),"")</f>
        <v/>
      </c>
      <c r="G167" s="94"/>
      <c r="H167" s="95" t="str">
        <f t="shared" si="2"/>
        <v/>
      </c>
      <c r="O167" s="28"/>
    </row>
    <row r="168" spans="1:15" x14ac:dyDescent="0.25">
      <c r="A168" s="74"/>
      <c r="B168" s="74"/>
      <c r="C168" s="75"/>
      <c r="D168" s="76"/>
      <c r="F168" s="93" t="str">
        <f>IFERROR(VLOOKUP(E168,price!A:B,2,0),"")</f>
        <v/>
      </c>
      <c r="G168" s="94"/>
      <c r="H168" s="95" t="str">
        <f t="shared" si="2"/>
        <v/>
      </c>
      <c r="O168" s="28"/>
    </row>
    <row r="169" spans="1:15" x14ac:dyDescent="0.25">
      <c r="A169" s="74"/>
      <c r="B169" s="74"/>
      <c r="C169" s="75"/>
      <c r="D169" s="76"/>
      <c r="F169" s="93" t="str">
        <f>IFERROR(VLOOKUP(E169,price!A:B,2,0),"")</f>
        <v/>
      </c>
      <c r="G169" s="94"/>
      <c r="H169" s="95" t="str">
        <f t="shared" si="2"/>
        <v/>
      </c>
      <c r="O169" s="28"/>
    </row>
    <row r="170" spans="1:15" x14ac:dyDescent="0.25">
      <c r="A170" s="74"/>
      <c r="B170" s="74"/>
      <c r="C170" s="75"/>
      <c r="D170" s="76"/>
      <c r="F170" s="93" t="str">
        <f>IFERROR(VLOOKUP(E170,price!A:B,2,0),"")</f>
        <v/>
      </c>
      <c r="G170" s="94"/>
      <c r="H170" s="95" t="str">
        <f t="shared" si="2"/>
        <v/>
      </c>
      <c r="O170" s="28"/>
    </row>
    <row r="171" spans="1:15" x14ac:dyDescent="0.25">
      <c r="A171" s="74"/>
      <c r="B171" s="74"/>
      <c r="C171" s="75"/>
      <c r="D171" s="76"/>
      <c r="F171" s="93" t="str">
        <f>IFERROR(VLOOKUP(E171,price!A:B,2,0),"")</f>
        <v/>
      </c>
      <c r="G171" s="94"/>
      <c r="H171" s="95" t="str">
        <f t="shared" si="2"/>
        <v/>
      </c>
      <c r="O171" s="28"/>
    </row>
    <row r="172" spans="1:15" x14ac:dyDescent="0.25">
      <c r="A172" s="74"/>
      <c r="B172" s="74"/>
      <c r="C172" s="75"/>
      <c r="D172" s="76"/>
      <c r="F172" s="93" t="str">
        <f>IFERROR(VLOOKUP(E172,price!A:B,2,0),"")</f>
        <v/>
      </c>
      <c r="G172" s="94"/>
      <c r="H172" s="95" t="str">
        <f t="shared" si="2"/>
        <v/>
      </c>
      <c r="O172" s="28"/>
    </row>
    <row r="173" spans="1:15" x14ac:dyDescent="0.25">
      <c r="A173" s="74"/>
      <c r="B173" s="74"/>
      <c r="C173" s="75"/>
      <c r="D173" s="76"/>
      <c r="F173" s="93" t="str">
        <f>IFERROR(VLOOKUP(E173,price!A:B,2,0),"")</f>
        <v/>
      </c>
      <c r="G173" s="94"/>
      <c r="H173" s="95" t="str">
        <f t="shared" si="2"/>
        <v/>
      </c>
      <c r="O173" s="28"/>
    </row>
    <row r="174" spans="1:15" x14ac:dyDescent="0.25">
      <c r="A174" s="74"/>
      <c r="B174" s="74"/>
      <c r="C174" s="75"/>
      <c r="D174" s="76"/>
      <c r="F174" s="93" t="str">
        <f>IFERROR(VLOOKUP(E174,price!A:B,2,0),"")</f>
        <v/>
      </c>
      <c r="G174" s="94"/>
      <c r="H174" s="95" t="str">
        <f t="shared" si="2"/>
        <v/>
      </c>
      <c r="O174" s="28"/>
    </row>
    <row r="175" spans="1:15" x14ac:dyDescent="0.25">
      <c r="A175" s="74"/>
      <c r="B175" s="74"/>
      <c r="C175" s="75"/>
      <c r="D175" s="76"/>
      <c r="F175" s="93" t="str">
        <f>IFERROR(VLOOKUP(E175,price!A:B,2,0),"")</f>
        <v/>
      </c>
      <c r="G175" s="94"/>
      <c r="H175" s="95" t="str">
        <f t="shared" si="2"/>
        <v/>
      </c>
      <c r="O175" s="28"/>
    </row>
    <row r="176" spans="1:15" x14ac:dyDescent="0.25">
      <c r="A176" s="74"/>
      <c r="B176" s="74"/>
      <c r="C176" s="75"/>
      <c r="D176" s="76"/>
      <c r="F176" s="93" t="str">
        <f>IFERROR(VLOOKUP(E176,price!A:B,2,0),"")</f>
        <v/>
      </c>
      <c r="G176" s="94"/>
      <c r="H176" s="95" t="str">
        <f t="shared" si="2"/>
        <v/>
      </c>
      <c r="O176" s="28"/>
    </row>
    <row r="177" spans="1:15" x14ac:dyDescent="0.25">
      <c r="A177" s="74"/>
      <c r="B177" s="74"/>
      <c r="C177" s="75"/>
      <c r="D177" s="76"/>
      <c r="F177" s="93" t="str">
        <f>IFERROR(VLOOKUP(E177,price!A:B,2,0),"")</f>
        <v/>
      </c>
      <c r="G177" s="94"/>
      <c r="H177" s="95" t="str">
        <f t="shared" si="2"/>
        <v/>
      </c>
      <c r="O177" s="28"/>
    </row>
    <row r="178" spans="1:15" x14ac:dyDescent="0.25">
      <c r="A178" s="74"/>
      <c r="B178" s="74"/>
      <c r="C178" s="75"/>
      <c r="D178" s="76"/>
      <c r="F178" s="93" t="str">
        <f>IFERROR(VLOOKUP(E178,price!A:B,2,0),"")</f>
        <v/>
      </c>
      <c r="G178" s="94"/>
      <c r="H178" s="95" t="str">
        <f t="shared" si="2"/>
        <v/>
      </c>
      <c r="O178" s="28"/>
    </row>
    <row r="179" spans="1:15" x14ac:dyDescent="0.25">
      <c r="A179" s="74"/>
      <c r="B179" s="74"/>
      <c r="C179" s="75"/>
      <c r="D179" s="76"/>
      <c r="F179" s="93" t="str">
        <f>IFERROR(VLOOKUP(E179,price!A:B,2,0),"")</f>
        <v/>
      </c>
      <c r="G179" s="94"/>
      <c r="H179" s="95" t="str">
        <f t="shared" si="2"/>
        <v/>
      </c>
      <c r="O179" s="28"/>
    </row>
    <row r="180" spans="1:15" x14ac:dyDescent="0.25">
      <c r="A180" s="74"/>
      <c r="B180" s="74"/>
      <c r="C180" s="75"/>
      <c r="D180" s="76"/>
      <c r="F180" s="93" t="str">
        <f>IFERROR(VLOOKUP(E180,price!A:B,2,0),"")</f>
        <v/>
      </c>
      <c r="G180" s="94"/>
      <c r="H180" s="95" t="str">
        <f t="shared" si="2"/>
        <v/>
      </c>
      <c r="O180" s="28"/>
    </row>
    <row r="181" spans="1:15" x14ac:dyDescent="0.25">
      <c r="A181" s="74"/>
      <c r="B181" s="74"/>
      <c r="C181" s="75"/>
      <c r="D181" s="76"/>
      <c r="F181" s="93" t="str">
        <f>IFERROR(VLOOKUP(E181,price!A:B,2,0),"")</f>
        <v/>
      </c>
      <c r="G181" s="94"/>
      <c r="H181" s="95" t="str">
        <f t="shared" si="2"/>
        <v/>
      </c>
      <c r="O181" s="28"/>
    </row>
    <row r="182" spans="1:15" x14ac:dyDescent="0.25">
      <c r="A182" s="74"/>
      <c r="B182" s="74"/>
      <c r="C182" s="75"/>
      <c r="D182" s="76"/>
      <c r="F182" s="93" t="str">
        <f>IFERROR(VLOOKUP(E182,price!A:B,2,0),"")</f>
        <v/>
      </c>
      <c r="G182" s="94"/>
      <c r="H182" s="95" t="str">
        <f t="shared" si="2"/>
        <v/>
      </c>
      <c r="O182" s="28"/>
    </row>
    <row r="183" spans="1:15" x14ac:dyDescent="0.25">
      <c r="A183" s="74"/>
      <c r="B183" s="74"/>
      <c r="C183" s="75"/>
      <c r="D183" s="76"/>
      <c r="F183" s="93" t="str">
        <f>IFERROR(VLOOKUP(E183,price!A:B,2,0),"")</f>
        <v/>
      </c>
      <c r="G183" s="94"/>
      <c r="H183" s="95" t="str">
        <f t="shared" si="2"/>
        <v/>
      </c>
      <c r="O183" s="28"/>
    </row>
    <row r="184" spans="1:15" x14ac:dyDescent="0.25">
      <c r="A184" s="74"/>
      <c r="B184" s="74"/>
      <c r="C184" s="75"/>
      <c r="D184" s="76"/>
      <c r="F184" s="93" t="str">
        <f>IFERROR(VLOOKUP(E184,price!A:B,2,0),"")</f>
        <v/>
      </c>
      <c r="G184" s="94"/>
      <c r="H184" s="95" t="str">
        <f t="shared" si="2"/>
        <v/>
      </c>
      <c r="O184" s="28"/>
    </row>
    <row r="185" spans="1:15" x14ac:dyDescent="0.25">
      <c r="A185" s="74"/>
      <c r="B185" s="74"/>
      <c r="C185" s="75"/>
      <c r="D185" s="76"/>
      <c r="F185" s="93" t="str">
        <f>IFERROR(VLOOKUP(E185,price!A:B,2,0),"")</f>
        <v/>
      </c>
      <c r="G185" s="94"/>
      <c r="H185" s="95" t="str">
        <f t="shared" si="2"/>
        <v/>
      </c>
      <c r="O185" s="28"/>
    </row>
    <row r="186" spans="1:15" x14ac:dyDescent="0.25">
      <c r="A186" s="74"/>
      <c r="B186" s="74"/>
      <c r="C186" s="75"/>
      <c r="D186" s="76"/>
      <c r="F186" s="93" t="str">
        <f>IFERROR(VLOOKUP(E186,price!A:B,2,0),"")</f>
        <v/>
      </c>
      <c r="G186" s="94"/>
      <c r="H186" s="95" t="str">
        <f t="shared" si="2"/>
        <v/>
      </c>
      <c r="O186" s="28"/>
    </row>
    <row r="187" spans="1:15" x14ac:dyDescent="0.25">
      <c r="A187" s="74"/>
      <c r="B187" s="74"/>
      <c r="C187" s="75"/>
      <c r="D187" s="76"/>
      <c r="F187" s="93" t="str">
        <f>IFERROR(VLOOKUP(E187,price!A:B,2,0),"")</f>
        <v/>
      </c>
      <c r="G187" s="94"/>
      <c r="H187" s="95" t="str">
        <f t="shared" si="2"/>
        <v/>
      </c>
      <c r="O187" s="28"/>
    </row>
    <row r="188" spans="1:15" x14ac:dyDescent="0.25">
      <c r="A188" s="74"/>
      <c r="B188" s="74"/>
      <c r="C188" s="75"/>
      <c r="D188" s="76"/>
      <c r="F188" s="93" t="str">
        <f>IFERROR(VLOOKUP(E188,price!A:B,2,0),"")</f>
        <v/>
      </c>
      <c r="G188" s="94"/>
      <c r="H188" s="95" t="str">
        <f t="shared" si="2"/>
        <v/>
      </c>
      <c r="O188" s="28"/>
    </row>
    <row r="189" spans="1:15" ht="15.75" customHeight="1" x14ac:dyDescent="0.25">
      <c r="A189" s="74"/>
      <c r="B189" s="74"/>
      <c r="C189" s="75"/>
      <c r="D189" s="76"/>
      <c r="F189" s="93" t="str">
        <f>IFERROR(VLOOKUP(E189,price!A:B,2,0),"")</f>
        <v/>
      </c>
      <c r="G189" s="94"/>
      <c r="H189" s="95" t="str">
        <f t="shared" si="2"/>
        <v/>
      </c>
      <c r="O189" s="28"/>
    </row>
    <row r="190" spans="1:15" x14ac:dyDescent="0.25">
      <c r="A190" s="74"/>
      <c r="B190" s="74"/>
      <c r="C190" s="75"/>
      <c r="D190" s="76"/>
      <c r="F190" s="93" t="str">
        <f>IFERROR(VLOOKUP(E190,price!A:B,2,0),"")</f>
        <v/>
      </c>
      <c r="G190" s="94"/>
      <c r="H190" s="95" t="str">
        <f t="shared" si="2"/>
        <v/>
      </c>
      <c r="O190" s="28"/>
    </row>
    <row r="191" spans="1:15" x14ac:dyDescent="0.25">
      <c r="A191" s="74"/>
      <c r="B191" s="74"/>
      <c r="C191" s="75"/>
      <c r="D191" s="76"/>
      <c r="F191" s="93" t="str">
        <f>IFERROR(VLOOKUP(E191,price!A:B,2,0),"")</f>
        <v/>
      </c>
      <c r="G191" s="94"/>
      <c r="H191" s="95" t="str">
        <f t="shared" si="2"/>
        <v/>
      </c>
      <c r="O191" s="28"/>
    </row>
    <row r="192" spans="1:15" x14ac:dyDescent="0.25">
      <c r="A192" s="74"/>
      <c r="B192" s="74"/>
      <c r="C192" s="75"/>
      <c r="D192" s="76"/>
      <c r="F192" s="93" t="str">
        <f>IFERROR(VLOOKUP(E192,price!A:B,2,0),"")</f>
        <v/>
      </c>
      <c r="G192" s="94"/>
      <c r="H192" s="95" t="str">
        <f t="shared" si="2"/>
        <v/>
      </c>
      <c r="O192" s="28"/>
    </row>
    <row r="193" spans="1:15" x14ac:dyDescent="0.25">
      <c r="A193" s="74"/>
      <c r="B193" s="74"/>
      <c r="C193" s="75"/>
      <c r="D193" s="76"/>
      <c r="F193" s="93" t="str">
        <f>IFERROR(VLOOKUP(E193,price!A:B,2,0),"")</f>
        <v/>
      </c>
      <c r="G193" s="94"/>
      <c r="H193" s="95" t="str">
        <f t="shared" si="2"/>
        <v/>
      </c>
      <c r="O193" s="28"/>
    </row>
    <row r="194" spans="1:15" x14ac:dyDescent="0.25">
      <c r="A194" s="74"/>
      <c r="B194" s="74"/>
      <c r="C194" s="75"/>
      <c r="D194" s="76"/>
      <c r="F194" s="93" t="str">
        <f>IFERROR(VLOOKUP(E194,price!A:B,2,0),"")</f>
        <v/>
      </c>
      <c r="G194" s="94"/>
      <c r="H194" s="95" t="str">
        <f t="shared" si="2"/>
        <v/>
      </c>
      <c r="O194" s="28"/>
    </row>
    <row r="195" spans="1:15" x14ac:dyDescent="0.25">
      <c r="A195" s="74"/>
      <c r="B195" s="74"/>
      <c r="C195" s="75"/>
      <c r="D195" s="76"/>
      <c r="F195" s="93" t="str">
        <f>IFERROR(VLOOKUP(E195,price!A:B,2,0),"")</f>
        <v/>
      </c>
      <c r="G195" s="94"/>
      <c r="H195" s="95" t="str">
        <f t="shared" si="2"/>
        <v/>
      </c>
      <c r="O195" s="28"/>
    </row>
    <row r="196" spans="1:15" x14ac:dyDescent="0.25">
      <c r="A196" s="74"/>
      <c r="B196" s="74"/>
      <c r="C196" s="75"/>
      <c r="D196" s="76"/>
      <c r="F196" s="93" t="str">
        <f>IFERROR(VLOOKUP(E196,price!A:B,2,0),"")</f>
        <v/>
      </c>
      <c r="G196" s="94"/>
      <c r="H196" s="95" t="str">
        <f t="shared" ref="H196:H213" si="3">IFERROR(F196-(F196*G196),"")</f>
        <v/>
      </c>
      <c r="O196" s="28"/>
    </row>
    <row r="197" spans="1:15" x14ac:dyDescent="0.25">
      <c r="A197" s="74"/>
      <c r="B197" s="74"/>
      <c r="C197" s="75"/>
      <c r="D197" s="76"/>
      <c r="F197" s="93" t="str">
        <f>IFERROR(VLOOKUP(E197,price!A:B,2,0),"")</f>
        <v/>
      </c>
      <c r="G197" s="94"/>
      <c r="H197" s="95" t="str">
        <f t="shared" si="3"/>
        <v/>
      </c>
      <c r="O197" s="28"/>
    </row>
    <row r="198" spans="1:15" x14ac:dyDescent="0.25">
      <c r="A198" s="74"/>
      <c r="B198" s="74"/>
      <c r="C198" s="75"/>
      <c r="D198" s="76"/>
      <c r="F198" s="93" t="str">
        <f>IFERROR(VLOOKUP(E198,price!A:B,2,0),"")</f>
        <v/>
      </c>
      <c r="G198" s="94"/>
      <c r="H198" s="95" t="str">
        <f t="shared" si="3"/>
        <v/>
      </c>
      <c r="O198" s="28"/>
    </row>
    <row r="199" spans="1:15" x14ac:dyDescent="0.25">
      <c r="A199" s="74"/>
      <c r="B199" s="74"/>
      <c r="C199" s="75"/>
      <c r="D199" s="76"/>
      <c r="F199" s="93" t="str">
        <f>IFERROR(VLOOKUP(E199,price!A:B,2,0),"")</f>
        <v/>
      </c>
      <c r="G199" s="94"/>
      <c r="H199" s="95" t="str">
        <f t="shared" si="3"/>
        <v/>
      </c>
      <c r="O199" s="28"/>
    </row>
    <row r="200" spans="1:15" x14ac:dyDescent="0.25">
      <c r="A200" s="74"/>
      <c r="B200" s="74"/>
      <c r="C200" s="75"/>
      <c r="D200" s="76"/>
      <c r="F200" s="93" t="str">
        <f>IFERROR(VLOOKUP(E200,price!A:B,2,0),"")</f>
        <v/>
      </c>
      <c r="G200" s="94"/>
      <c r="H200" s="95" t="str">
        <f t="shared" si="3"/>
        <v/>
      </c>
      <c r="O200" s="28"/>
    </row>
    <row r="201" spans="1:15" x14ac:dyDescent="0.25">
      <c r="A201" s="74"/>
      <c r="B201" s="74"/>
      <c r="C201" s="75"/>
      <c r="D201" s="76"/>
      <c r="F201" s="93" t="str">
        <f>IFERROR(VLOOKUP(E201,price!A:B,2,0),"")</f>
        <v/>
      </c>
      <c r="G201" s="94"/>
      <c r="H201" s="95" t="str">
        <f t="shared" si="3"/>
        <v/>
      </c>
      <c r="O201" s="28"/>
    </row>
    <row r="202" spans="1:15" x14ac:dyDescent="0.25">
      <c r="A202" s="74"/>
      <c r="B202" s="74"/>
      <c r="C202" s="75"/>
      <c r="D202" s="76"/>
      <c r="F202" s="93" t="str">
        <f>IFERROR(VLOOKUP(E202,price!A:B,2,0),"")</f>
        <v/>
      </c>
      <c r="G202" s="94"/>
      <c r="H202" s="95" t="str">
        <f t="shared" si="3"/>
        <v/>
      </c>
      <c r="O202" s="28"/>
    </row>
    <row r="203" spans="1:15" x14ac:dyDescent="0.25">
      <c r="A203" s="74"/>
      <c r="B203" s="74"/>
      <c r="C203" s="75"/>
      <c r="D203" s="76"/>
      <c r="F203" s="93" t="str">
        <f>IFERROR(VLOOKUP(E203,price!A:B,2,0),"")</f>
        <v/>
      </c>
      <c r="G203" s="94"/>
      <c r="H203" s="95" t="str">
        <f t="shared" si="3"/>
        <v/>
      </c>
      <c r="O203" s="28"/>
    </row>
    <row r="204" spans="1:15" x14ac:dyDescent="0.25">
      <c r="A204" s="74"/>
      <c r="B204" s="74"/>
      <c r="C204" s="75"/>
      <c r="D204" s="76"/>
      <c r="F204" s="93" t="str">
        <f>IFERROR(VLOOKUP(E204,price!A:B,2,0),"")</f>
        <v/>
      </c>
      <c r="G204" s="94"/>
      <c r="H204" s="95" t="str">
        <f t="shared" si="3"/>
        <v/>
      </c>
      <c r="O204" s="28"/>
    </row>
    <row r="205" spans="1:15" x14ac:dyDescent="0.25">
      <c r="A205" s="74"/>
      <c r="B205" s="74"/>
      <c r="C205" s="75"/>
      <c r="D205" s="76"/>
      <c r="F205" s="93" t="str">
        <f>IFERROR(VLOOKUP(E205,price!A:B,2,0),"")</f>
        <v/>
      </c>
      <c r="G205" s="94"/>
      <c r="H205" s="95" t="str">
        <f t="shared" si="3"/>
        <v/>
      </c>
      <c r="O205" s="28"/>
    </row>
    <row r="206" spans="1:15" x14ac:dyDescent="0.25">
      <c r="A206" s="74"/>
      <c r="B206" s="74"/>
      <c r="C206" s="75"/>
      <c r="D206" s="76"/>
      <c r="F206" s="93" t="str">
        <f>IFERROR(VLOOKUP(E206,price!A:B,2,0),"")</f>
        <v/>
      </c>
      <c r="G206" s="94"/>
      <c r="H206" s="95" t="str">
        <f t="shared" si="3"/>
        <v/>
      </c>
      <c r="O206" s="28"/>
    </row>
    <row r="207" spans="1:15" x14ac:dyDescent="0.25">
      <c r="A207" s="74"/>
      <c r="B207" s="74"/>
      <c r="C207" s="75"/>
      <c r="D207" s="76"/>
      <c r="F207" s="93" t="str">
        <f>IFERROR(VLOOKUP(E207,price!A:B,2,0),"")</f>
        <v/>
      </c>
      <c r="G207" s="94"/>
      <c r="H207" s="95" t="str">
        <f t="shared" si="3"/>
        <v/>
      </c>
      <c r="O207" s="28"/>
    </row>
    <row r="208" spans="1:15" x14ac:dyDescent="0.25">
      <c r="A208" s="74"/>
      <c r="B208" s="74"/>
      <c r="C208" s="75"/>
      <c r="D208" s="76"/>
      <c r="F208" s="93" t="str">
        <f>IFERROR(VLOOKUP(E208,price!A:B,2,0),"")</f>
        <v/>
      </c>
      <c r="G208" s="94"/>
      <c r="H208" s="95" t="str">
        <f t="shared" si="3"/>
        <v/>
      </c>
      <c r="O208" s="28"/>
    </row>
    <row r="209" spans="1:15" x14ac:dyDescent="0.25">
      <c r="A209" s="74"/>
      <c r="B209" s="74"/>
      <c r="C209" s="75"/>
      <c r="D209" s="76"/>
      <c r="F209" s="93" t="str">
        <f>IFERROR(VLOOKUP(E209,price!A:B,2,0),"")</f>
        <v/>
      </c>
      <c r="G209" s="94"/>
      <c r="H209" s="95" t="str">
        <f t="shared" si="3"/>
        <v/>
      </c>
      <c r="O209" s="28"/>
    </row>
    <row r="210" spans="1:15" x14ac:dyDescent="0.25">
      <c r="A210" s="74"/>
      <c r="B210" s="74"/>
      <c r="C210" s="75"/>
      <c r="D210" s="76"/>
      <c r="F210" s="93" t="str">
        <f>IFERROR(VLOOKUP(E210,price!A:B,2,0),"")</f>
        <v/>
      </c>
      <c r="G210" s="94"/>
      <c r="H210" s="95" t="str">
        <f t="shared" si="3"/>
        <v/>
      </c>
      <c r="O210" s="28"/>
    </row>
    <row r="211" spans="1:15" x14ac:dyDescent="0.25">
      <c r="A211" s="74"/>
      <c r="B211" s="74"/>
      <c r="C211" s="75"/>
      <c r="D211" s="76"/>
      <c r="F211" s="93" t="str">
        <f>IFERROR(VLOOKUP(E211,price!A:B,2,0),"")</f>
        <v/>
      </c>
      <c r="G211" s="94"/>
      <c r="H211" s="95" t="str">
        <f t="shared" si="3"/>
        <v/>
      </c>
      <c r="O211" s="28"/>
    </row>
    <row r="212" spans="1:15" x14ac:dyDescent="0.25">
      <c r="A212" s="74"/>
      <c r="D212" s="76"/>
      <c r="F212" s="93" t="str">
        <f>IFERROR(VLOOKUP(E212,price!A:B,2,0),"")</f>
        <v/>
      </c>
      <c r="G212" s="96"/>
      <c r="H212" s="95" t="str">
        <f t="shared" si="3"/>
        <v/>
      </c>
      <c r="O212" s="28"/>
    </row>
    <row r="213" spans="1:15" x14ac:dyDescent="0.25">
      <c r="A213" s="74"/>
      <c r="D213" s="76"/>
      <c r="F213" s="93" t="str">
        <f>IFERROR(VLOOKUP(E213,price!A:B,2,0),"")</f>
        <v/>
      </c>
      <c r="G213" s="96"/>
      <c r="H213" s="95" t="str">
        <f t="shared" si="3"/>
        <v/>
      </c>
      <c r="O213" s="28"/>
    </row>
    <row r="214" spans="1:15" x14ac:dyDescent="0.25">
      <c r="A214" s="74"/>
      <c r="D214" s="76"/>
      <c r="H214" s="89"/>
      <c r="O214" s="28"/>
    </row>
    <row r="215" spans="1:15" x14ac:dyDescent="0.25">
      <c r="D215" s="76"/>
      <c r="H215" s="89"/>
      <c r="O215" s="28"/>
    </row>
    <row r="216" spans="1:15" x14ac:dyDescent="0.25">
      <c r="D216" s="76"/>
      <c r="H216" s="89"/>
      <c r="O216" s="28"/>
    </row>
    <row r="217" spans="1:15" x14ac:dyDescent="0.25">
      <c r="D217" s="76"/>
      <c r="H217" s="89"/>
      <c r="O217" s="28"/>
    </row>
    <row r="218" spans="1:15" x14ac:dyDescent="0.25">
      <c r="D218" s="76"/>
      <c r="H218" s="89"/>
      <c r="O218" s="28"/>
    </row>
    <row r="219" spans="1:15" x14ac:dyDescent="0.25">
      <c r="D219" s="76"/>
      <c r="H219" s="89"/>
      <c r="O219" s="28"/>
    </row>
    <row r="220" spans="1:15" x14ac:dyDescent="0.25">
      <c r="D220" s="76"/>
      <c r="H220" s="89"/>
      <c r="O220" s="28"/>
    </row>
    <row r="221" spans="1:15" x14ac:dyDescent="0.25">
      <c r="D221" s="76"/>
      <c r="H221" s="89"/>
      <c r="O221" s="28"/>
    </row>
    <row r="222" spans="1:15" x14ac:dyDescent="0.25">
      <c r="D222" s="76"/>
      <c r="H222" s="89"/>
      <c r="O222" s="28"/>
    </row>
    <row r="223" spans="1:15" x14ac:dyDescent="0.25">
      <c r="D223" s="76"/>
      <c r="H223" s="89"/>
      <c r="O223" s="28"/>
    </row>
    <row r="224" spans="1:15" x14ac:dyDescent="0.25">
      <c r="D224" s="76"/>
      <c r="H224" s="89"/>
      <c r="O224" s="28"/>
    </row>
    <row r="225" spans="4:15" x14ac:dyDescent="0.25">
      <c r="D225" s="76"/>
      <c r="H225" s="89"/>
      <c r="O225" s="28"/>
    </row>
    <row r="226" spans="4:15" x14ac:dyDescent="0.25">
      <c r="D226" s="76"/>
      <c r="H226" s="89"/>
      <c r="O226" s="28"/>
    </row>
    <row r="227" spans="4:15" x14ac:dyDescent="0.25">
      <c r="D227" s="76"/>
      <c r="H227" s="89"/>
      <c r="O227" s="28"/>
    </row>
    <row r="228" spans="4:15" x14ac:dyDescent="0.25">
      <c r="D228" s="76"/>
      <c r="H228" s="89"/>
      <c r="O228" s="28"/>
    </row>
    <row r="229" spans="4:15" x14ac:dyDescent="0.25">
      <c r="D229" s="76"/>
      <c r="H229" s="89"/>
      <c r="O229" s="28"/>
    </row>
    <row r="230" spans="4:15" x14ac:dyDescent="0.25">
      <c r="D230" s="76"/>
      <c r="H230" s="89"/>
      <c r="O230" s="28"/>
    </row>
    <row r="231" spans="4:15" x14ac:dyDescent="0.25">
      <c r="D231" s="76"/>
      <c r="H231" s="89"/>
      <c r="O231" s="28"/>
    </row>
    <row r="232" spans="4:15" x14ac:dyDescent="0.25">
      <c r="D232" s="76"/>
      <c r="H232" s="89"/>
      <c r="O232" s="28"/>
    </row>
    <row r="233" spans="4:15" x14ac:dyDescent="0.25">
      <c r="D233" s="76"/>
      <c r="H233" s="89"/>
      <c r="O233" s="28"/>
    </row>
    <row r="234" spans="4:15" x14ac:dyDescent="0.25">
      <c r="D234" s="76"/>
      <c r="H234" s="89"/>
      <c r="O234" s="28"/>
    </row>
    <row r="235" spans="4:15" x14ac:dyDescent="0.25">
      <c r="D235" s="76"/>
      <c r="H235" s="89"/>
      <c r="O235" s="28"/>
    </row>
    <row r="236" spans="4:15" x14ac:dyDescent="0.25">
      <c r="D236" s="76"/>
      <c r="H236" s="89"/>
      <c r="O236" s="28"/>
    </row>
    <row r="237" spans="4:15" x14ac:dyDescent="0.25">
      <c r="D237" s="76"/>
      <c r="H237" s="89"/>
      <c r="O237" s="28"/>
    </row>
    <row r="238" spans="4:15" x14ac:dyDescent="0.25">
      <c r="D238" s="76"/>
      <c r="H238" s="89"/>
      <c r="O238" s="28"/>
    </row>
    <row r="239" spans="4:15" x14ac:dyDescent="0.25">
      <c r="D239" s="76"/>
      <c r="H239" s="89"/>
      <c r="O239" s="28"/>
    </row>
    <row r="240" spans="4:15" x14ac:dyDescent="0.25">
      <c r="D240" s="76"/>
      <c r="H240" s="89"/>
      <c r="O240" s="28"/>
    </row>
    <row r="241" spans="4:15" x14ac:dyDescent="0.25">
      <c r="D241" s="76"/>
      <c r="H241" s="89"/>
      <c r="O241" s="28"/>
    </row>
    <row r="242" spans="4:15" x14ac:dyDescent="0.25">
      <c r="D242" s="76"/>
      <c r="H242" s="89"/>
      <c r="O242" s="28"/>
    </row>
    <row r="243" spans="4:15" x14ac:dyDescent="0.25">
      <c r="D243" s="76"/>
      <c r="H243" s="89"/>
      <c r="O243" s="28"/>
    </row>
    <row r="244" spans="4:15" x14ac:dyDescent="0.25">
      <c r="D244" s="76"/>
      <c r="H244" s="89"/>
      <c r="O244" s="28"/>
    </row>
    <row r="245" spans="4:15" x14ac:dyDescent="0.25">
      <c r="D245" s="76"/>
      <c r="H245" s="89"/>
      <c r="O245" s="28"/>
    </row>
    <row r="246" spans="4:15" x14ac:dyDescent="0.25">
      <c r="D246" s="76"/>
      <c r="H246" s="89"/>
      <c r="O246" s="28"/>
    </row>
    <row r="247" spans="4:15" x14ac:dyDescent="0.25">
      <c r="D247" s="76"/>
      <c r="H247" s="89"/>
      <c r="O247" s="28"/>
    </row>
    <row r="248" spans="4:15" x14ac:dyDescent="0.25">
      <c r="D248" s="76"/>
      <c r="H248" s="89"/>
      <c r="O248" s="28"/>
    </row>
    <row r="249" spans="4:15" x14ac:dyDescent="0.25">
      <c r="D249" s="76"/>
      <c r="H249" s="89"/>
      <c r="O249" s="28"/>
    </row>
    <row r="250" spans="4:15" x14ac:dyDescent="0.25">
      <c r="D250" s="76"/>
      <c r="H250" s="89"/>
      <c r="O250" s="28"/>
    </row>
    <row r="251" spans="4:15" x14ac:dyDescent="0.25">
      <c r="D251" s="76"/>
      <c r="H251" s="89"/>
      <c r="O251" s="28"/>
    </row>
    <row r="252" spans="4:15" x14ac:dyDescent="0.25">
      <c r="D252" s="76"/>
      <c r="H252" s="89"/>
      <c r="O252" s="28"/>
    </row>
    <row r="253" spans="4:15" x14ac:dyDescent="0.25">
      <c r="D253" s="76"/>
      <c r="H253" s="89"/>
      <c r="O253" s="28"/>
    </row>
    <row r="254" spans="4:15" x14ac:dyDescent="0.25">
      <c r="D254" s="76"/>
      <c r="H254" s="89"/>
      <c r="O254" s="28"/>
    </row>
    <row r="255" spans="4:15" x14ac:dyDescent="0.25">
      <c r="D255" s="76"/>
      <c r="H255" s="89"/>
      <c r="O255" s="28"/>
    </row>
    <row r="256" spans="4:15" x14ac:dyDescent="0.25">
      <c r="D256" s="76"/>
      <c r="H256" s="89"/>
      <c r="O256" s="28"/>
    </row>
    <row r="257" spans="4:15" x14ac:dyDescent="0.25">
      <c r="D257" s="76"/>
      <c r="H257" s="89"/>
      <c r="O257" s="28"/>
    </row>
    <row r="258" spans="4:15" x14ac:dyDescent="0.25">
      <c r="D258" s="76"/>
      <c r="H258" s="89"/>
      <c r="O258" s="28"/>
    </row>
    <row r="259" spans="4:15" x14ac:dyDescent="0.25">
      <c r="D259" s="76"/>
      <c r="H259" s="89"/>
      <c r="O259" s="28"/>
    </row>
    <row r="260" spans="4:15" x14ac:dyDescent="0.25">
      <c r="D260" s="76"/>
      <c r="H260" s="89"/>
      <c r="O260" s="28"/>
    </row>
    <row r="261" spans="4:15" x14ac:dyDescent="0.25">
      <c r="D261" s="76"/>
      <c r="H261" s="89"/>
      <c r="O261" s="28"/>
    </row>
    <row r="262" spans="4:15" x14ac:dyDescent="0.25">
      <c r="D262" s="76"/>
      <c r="H262" s="89"/>
      <c r="O262" s="28"/>
    </row>
    <row r="263" spans="4:15" x14ac:dyDescent="0.25">
      <c r="D263" s="76"/>
      <c r="H263" s="89"/>
      <c r="O263" s="28"/>
    </row>
    <row r="264" spans="4:15" x14ac:dyDescent="0.25">
      <c r="D264" s="76"/>
      <c r="H264" s="89"/>
      <c r="O264" s="28"/>
    </row>
    <row r="265" spans="4:15" x14ac:dyDescent="0.25">
      <c r="D265" s="76"/>
      <c r="H265" s="89"/>
      <c r="O265" s="28"/>
    </row>
    <row r="266" spans="4:15" x14ac:dyDescent="0.25">
      <c r="D266" s="76"/>
      <c r="H266" s="89"/>
      <c r="O266" s="28"/>
    </row>
    <row r="267" spans="4:15" x14ac:dyDescent="0.25">
      <c r="D267" s="76"/>
      <c r="H267" s="89"/>
      <c r="O267" s="28"/>
    </row>
    <row r="268" spans="4:15" x14ac:dyDescent="0.25">
      <c r="D268" s="76"/>
      <c r="H268" s="89"/>
      <c r="O268" s="28"/>
    </row>
    <row r="269" spans="4:15" x14ac:dyDescent="0.25">
      <c r="D269" s="76"/>
      <c r="H269" s="89"/>
      <c r="O269" s="28"/>
    </row>
    <row r="270" spans="4:15" x14ac:dyDescent="0.25">
      <c r="D270" s="76"/>
      <c r="H270" s="89"/>
      <c r="O270" s="28"/>
    </row>
    <row r="271" spans="4:15" x14ac:dyDescent="0.25">
      <c r="D271" s="76"/>
      <c r="H271" s="89"/>
      <c r="O271" s="28"/>
    </row>
    <row r="272" spans="4:15" x14ac:dyDescent="0.25">
      <c r="D272" s="76"/>
      <c r="H272" s="89"/>
      <c r="O272" s="28"/>
    </row>
    <row r="273" spans="4:15" x14ac:dyDescent="0.25">
      <c r="D273" s="76"/>
      <c r="H273" s="89"/>
      <c r="O273" s="28"/>
    </row>
    <row r="274" spans="4:15" x14ac:dyDescent="0.25">
      <c r="D274" s="76"/>
      <c r="H274" s="89"/>
      <c r="O274" s="28"/>
    </row>
    <row r="275" spans="4:15" x14ac:dyDescent="0.25">
      <c r="D275" s="76"/>
      <c r="H275" s="89"/>
      <c r="O275" s="28"/>
    </row>
    <row r="276" spans="4:15" x14ac:dyDescent="0.25">
      <c r="D276" s="76"/>
      <c r="H276" s="89"/>
      <c r="O276" s="28"/>
    </row>
    <row r="277" spans="4:15" x14ac:dyDescent="0.25">
      <c r="D277" s="76"/>
      <c r="H277" s="89"/>
      <c r="O277" s="28"/>
    </row>
    <row r="278" spans="4:15" x14ac:dyDescent="0.25">
      <c r="D278" s="76"/>
      <c r="H278" s="89"/>
      <c r="O278" s="28"/>
    </row>
    <row r="279" spans="4:15" x14ac:dyDescent="0.25">
      <c r="D279" s="76"/>
      <c r="H279" s="89"/>
      <c r="O279" s="28"/>
    </row>
    <row r="280" spans="4:15" x14ac:dyDescent="0.25">
      <c r="D280" s="76"/>
      <c r="H280" s="89"/>
      <c r="O280" s="28"/>
    </row>
    <row r="281" spans="4:15" x14ac:dyDescent="0.25">
      <c r="D281" s="76"/>
      <c r="H281" s="89"/>
      <c r="O281" s="28"/>
    </row>
    <row r="282" spans="4:15" x14ac:dyDescent="0.25">
      <c r="D282" s="76"/>
      <c r="H282" s="89"/>
      <c r="O282" s="28"/>
    </row>
    <row r="283" spans="4:15" x14ac:dyDescent="0.25">
      <c r="D283" s="76"/>
      <c r="H283" s="89"/>
      <c r="O283" s="28"/>
    </row>
    <row r="284" spans="4:15" x14ac:dyDescent="0.25">
      <c r="D284" s="76"/>
      <c r="H284" s="89"/>
      <c r="O284" s="28"/>
    </row>
    <row r="285" spans="4:15" x14ac:dyDescent="0.25">
      <c r="D285" s="76"/>
      <c r="H285" s="89"/>
      <c r="O285" s="28"/>
    </row>
    <row r="286" spans="4:15" x14ac:dyDescent="0.25">
      <c r="D286" s="76"/>
      <c r="H286" s="89"/>
      <c r="O286" s="28"/>
    </row>
    <row r="287" spans="4:15" x14ac:dyDescent="0.25">
      <c r="D287" s="76"/>
      <c r="H287" s="89"/>
      <c r="O287" s="28"/>
    </row>
    <row r="288" spans="4:15" x14ac:dyDescent="0.25">
      <c r="D288" s="76"/>
      <c r="H288" s="89"/>
      <c r="O288" s="28"/>
    </row>
    <row r="289" spans="4:15" x14ac:dyDescent="0.25">
      <c r="D289" s="76"/>
      <c r="H289" s="89"/>
      <c r="O289" s="28"/>
    </row>
    <row r="290" spans="4:15" x14ac:dyDescent="0.25">
      <c r="D290" s="76"/>
      <c r="H290" s="89"/>
      <c r="O290" s="28"/>
    </row>
    <row r="291" spans="4:15" x14ac:dyDescent="0.25">
      <c r="D291" s="76"/>
      <c r="H291" s="89"/>
      <c r="O291" s="28"/>
    </row>
    <row r="292" spans="4:15" x14ac:dyDescent="0.25">
      <c r="D292" s="76"/>
      <c r="H292" s="89"/>
      <c r="O292" s="28"/>
    </row>
    <row r="293" spans="4:15" x14ac:dyDescent="0.25">
      <c r="D293" s="76"/>
      <c r="H293" s="89"/>
      <c r="O293" s="28"/>
    </row>
    <row r="294" spans="4:15" x14ac:dyDescent="0.25">
      <c r="D294" s="76"/>
      <c r="H294" s="89"/>
      <c r="O294" s="28"/>
    </row>
    <row r="295" spans="4:15" x14ac:dyDescent="0.25">
      <c r="D295" s="76"/>
      <c r="H295" s="89"/>
      <c r="O295" s="28"/>
    </row>
    <row r="296" spans="4:15" x14ac:dyDescent="0.25">
      <c r="D296" s="76"/>
      <c r="H296" s="89"/>
      <c r="O296" s="28"/>
    </row>
    <row r="297" spans="4:15" x14ac:dyDescent="0.25">
      <c r="D297" s="76"/>
      <c r="H297" s="89"/>
      <c r="O297" s="28"/>
    </row>
    <row r="298" spans="4:15" x14ac:dyDescent="0.25">
      <c r="D298" s="76"/>
      <c r="H298" s="89"/>
      <c r="O298" s="28"/>
    </row>
    <row r="299" spans="4:15" x14ac:dyDescent="0.25">
      <c r="D299" s="76"/>
      <c r="H299" s="89"/>
      <c r="O299" s="28"/>
    </row>
    <row r="300" spans="4:15" x14ac:dyDescent="0.25">
      <c r="D300" s="76"/>
      <c r="H300" s="89"/>
      <c r="O300" s="28"/>
    </row>
    <row r="301" spans="4:15" x14ac:dyDescent="0.25">
      <c r="D301" s="76"/>
      <c r="H301" s="89"/>
      <c r="O301" s="28"/>
    </row>
    <row r="302" spans="4:15" x14ac:dyDescent="0.25">
      <c r="D302" s="76"/>
      <c r="H302" s="89"/>
      <c r="O302" s="28"/>
    </row>
    <row r="303" spans="4:15" x14ac:dyDescent="0.25">
      <c r="D303" s="76"/>
      <c r="H303" s="89"/>
      <c r="O303" s="28"/>
    </row>
    <row r="304" spans="4:15" x14ac:dyDescent="0.25">
      <c r="D304" s="76"/>
      <c r="H304" s="89"/>
      <c r="O304" s="28"/>
    </row>
    <row r="305" spans="4:15" x14ac:dyDescent="0.25">
      <c r="D305" s="76"/>
      <c r="H305" s="89"/>
      <c r="O305" s="28"/>
    </row>
    <row r="306" spans="4:15" x14ac:dyDescent="0.25">
      <c r="D306" s="76"/>
      <c r="H306" s="89"/>
      <c r="O306" s="28"/>
    </row>
    <row r="307" spans="4:15" x14ac:dyDescent="0.25">
      <c r="D307" s="76"/>
      <c r="H307" s="89"/>
      <c r="O307" s="28"/>
    </row>
    <row r="308" spans="4:15" x14ac:dyDescent="0.25">
      <c r="D308" s="76"/>
      <c r="H308" s="89"/>
      <c r="O308" s="28"/>
    </row>
    <row r="309" spans="4:15" x14ac:dyDescent="0.25">
      <c r="D309" s="76"/>
      <c r="H309" s="89"/>
      <c r="O309" s="28"/>
    </row>
    <row r="310" spans="4:15" x14ac:dyDescent="0.25">
      <c r="D310" s="76"/>
      <c r="H310" s="89"/>
      <c r="O310" s="28"/>
    </row>
    <row r="311" spans="4:15" x14ac:dyDescent="0.25">
      <c r="D311" s="76"/>
      <c r="H311" s="89"/>
      <c r="O311" s="28"/>
    </row>
    <row r="312" spans="4:15" x14ac:dyDescent="0.25">
      <c r="D312" s="76"/>
      <c r="H312" s="89"/>
      <c r="O312" s="28"/>
    </row>
    <row r="313" spans="4:15" x14ac:dyDescent="0.25">
      <c r="D313" s="76"/>
      <c r="H313" s="89"/>
      <c r="O313" s="28"/>
    </row>
    <row r="314" spans="4:15" x14ac:dyDescent="0.25">
      <c r="D314" s="76"/>
      <c r="H314" s="89"/>
      <c r="O314" s="28"/>
    </row>
    <row r="315" spans="4:15" x14ac:dyDescent="0.25">
      <c r="D315" s="76"/>
      <c r="H315" s="89"/>
      <c r="O315" s="28"/>
    </row>
    <row r="316" spans="4:15" x14ac:dyDescent="0.25">
      <c r="D316" s="76"/>
      <c r="H316" s="89"/>
      <c r="O316" s="28"/>
    </row>
    <row r="317" spans="4:15" x14ac:dyDescent="0.25">
      <c r="D317" s="76"/>
      <c r="H317" s="89"/>
      <c r="O317" s="28"/>
    </row>
    <row r="318" spans="4:15" x14ac:dyDescent="0.25">
      <c r="D318" s="76"/>
      <c r="H318" s="89"/>
      <c r="O318" s="28"/>
    </row>
    <row r="319" spans="4:15" x14ac:dyDescent="0.25">
      <c r="D319" s="76"/>
      <c r="H319" s="89"/>
      <c r="O319" s="28"/>
    </row>
    <row r="320" spans="4:15" x14ac:dyDescent="0.25">
      <c r="D320" s="76"/>
      <c r="H320" s="89"/>
      <c r="O320" s="28"/>
    </row>
    <row r="321" spans="4:15" x14ac:dyDescent="0.25">
      <c r="D321" s="76"/>
      <c r="H321" s="89"/>
      <c r="O321" s="28"/>
    </row>
    <row r="322" spans="4:15" x14ac:dyDescent="0.25">
      <c r="D322" s="76"/>
      <c r="H322" s="89"/>
      <c r="O322" s="28"/>
    </row>
    <row r="323" spans="4:15" x14ac:dyDescent="0.25">
      <c r="D323" s="76"/>
      <c r="H323" s="89"/>
      <c r="O323" s="28"/>
    </row>
    <row r="324" spans="4:15" x14ac:dyDescent="0.25">
      <c r="D324" s="76"/>
      <c r="H324" s="89"/>
      <c r="O324" s="28"/>
    </row>
    <row r="325" spans="4:15" x14ac:dyDescent="0.25">
      <c r="D325" s="76"/>
      <c r="H325" s="89"/>
      <c r="O325" s="28"/>
    </row>
    <row r="326" spans="4:15" x14ac:dyDescent="0.25">
      <c r="D326" s="76"/>
      <c r="H326" s="89"/>
      <c r="O326" s="28"/>
    </row>
    <row r="327" spans="4:15" x14ac:dyDescent="0.25">
      <c r="D327" s="76"/>
      <c r="H327" s="89"/>
      <c r="O327" s="28"/>
    </row>
    <row r="328" spans="4:15" x14ac:dyDescent="0.25">
      <c r="D328" s="76"/>
      <c r="H328" s="89"/>
      <c r="O328" s="28"/>
    </row>
    <row r="329" spans="4:15" x14ac:dyDescent="0.25">
      <c r="D329" s="76"/>
      <c r="H329" s="89"/>
      <c r="O329" s="28"/>
    </row>
    <row r="330" spans="4:15" x14ac:dyDescent="0.25">
      <c r="D330" s="76"/>
      <c r="H330" s="89"/>
      <c r="O330" s="28"/>
    </row>
    <row r="331" spans="4:15" x14ac:dyDescent="0.25">
      <c r="D331" s="76"/>
      <c r="H331" s="89"/>
      <c r="O331" s="28"/>
    </row>
    <row r="332" spans="4:15" x14ac:dyDescent="0.25">
      <c r="D332" s="76"/>
      <c r="H332" s="89"/>
      <c r="O332" s="28"/>
    </row>
    <row r="333" spans="4:15" x14ac:dyDescent="0.25">
      <c r="D333" s="76"/>
      <c r="H333" s="89"/>
      <c r="O333" s="28"/>
    </row>
    <row r="334" spans="4:15" x14ac:dyDescent="0.25">
      <c r="D334" s="76"/>
      <c r="H334" s="89"/>
      <c r="O334" s="28"/>
    </row>
    <row r="335" spans="4:15" x14ac:dyDescent="0.25">
      <c r="D335" s="76"/>
      <c r="H335" s="89"/>
      <c r="O335" s="28"/>
    </row>
    <row r="336" spans="4:15" x14ac:dyDescent="0.25">
      <c r="D336" s="76"/>
      <c r="H336" s="89"/>
      <c r="O336" s="28"/>
    </row>
    <row r="337" spans="4:15" x14ac:dyDescent="0.25">
      <c r="D337" s="76"/>
      <c r="H337" s="89"/>
      <c r="O337" s="28"/>
    </row>
    <row r="338" spans="4:15" x14ac:dyDescent="0.25">
      <c r="D338" s="76"/>
      <c r="H338" s="89"/>
      <c r="O338" s="28"/>
    </row>
    <row r="339" spans="4:15" x14ac:dyDescent="0.25">
      <c r="D339" s="76"/>
      <c r="H339" s="89"/>
      <c r="O339" s="28"/>
    </row>
    <row r="340" spans="4:15" x14ac:dyDescent="0.25">
      <c r="D340" s="76"/>
      <c r="H340" s="89"/>
      <c r="O340" s="28"/>
    </row>
    <row r="341" spans="4:15" x14ac:dyDescent="0.25">
      <c r="D341" s="76"/>
      <c r="H341" s="89"/>
      <c r="O341" s="28"/>
    </row>
    <row r="342" spans="4:15" x14ac:dyDescent="0.25">
      <c r="D342" s="76"/>
      <c r="H342" s="89"/>
      <c r="O342" s="28"/>
    </row>
    <row r="343" spans="4:15" x14ac:dyDescent="0.25">
      <c r="D343" s="76"/>
      <c r="H343" s="89"/>
      <c r="O343" s="28"/>
    </row>
    <row r="344" spans="4:15" x14ac:dyDescent="0.25">
      <c r="D344" s="76"/>
      <c r="H344" s="89"/>
      <c r="O344" s="28"/>
    </row>
    <row r="345" spans="4:15" x14ac:dyDescent="0.25">
      <c r="D345" s="76"/>
      <c r="H345" s="89"/>
      <c r="O345" s="28"/>
    </row>
    <row r="346" spans="4:15" x14ac:dyDescent="0.25">
      <c r="D346" s="76"/>
      <c r="H346" s="89"/>
      <c r="O346" s="28"/>
    </row>
    <row r="347" spans="4:15" x14ac:dyDescent="0.25">
      <c r="D347" s="76"/>
      <c r="H347" s="89"/>
      <c r="O347" s="28"/>
    </row>
    <row r="348" spans="4:15" x14ac:dyDescent="0.25">
      <c r="D348" s="76"/>
      <c r="H348" s="89"/>
      <c r="O348" s="28"/>
    </row>
    <row r="349" spans="4:15" x14ac:dyDescent="0.25">
      <c r="D349" s="76"/>
      <c r="H349" s="89"/>
      <c r="O349" s="28"/>
    </row>
    <row r="350" spans="4:15" x14ac:dyDescent="0.25">
      <c r="D350" s="76"/>
      <c r="H350" s="89"/>
      <c r="O350" s="28"/>
    </row>
    <row r="351" spans="4:15" x14ac:dyDescent="0.25">
      <c r="D351" s="76"/>
      <c r="H351" s="89"/>
      <c r="O351" s="28"/>
    </row>
    <row r="352" spans="4:15" x14ac:dyDescent="0.25">
      <c r="D352" s="76"/>
      <c r="H352" s="89"/>
      <c r="O352" s="28"/>
    </row>
    <row r="353" spans="4:15" x14ac:dyDescent="0.25">
      <c r="D353" s="76"/>
      <c r="H353" s="89"/>
      <c r="O353" s="28"/>
    </row>
    <row r="354" spans="4:15" x14ac:dyDescent="0.25">
      <c r="D354" s="76"/>
      <c r="H354" s="89"/>
      <c r="O354" s="28"/>
    </row>
    <row r="355" spans="4:15" x14ac:dyDescent="0.25">
      <c r="D355" s="76"/>
      <c r="H355" s="89"/>
      <c r="O355" s="28"/>
    </row>
    <row r="356" spans="4:15" x14ac:dyDescent="0.25">
      <c r="D356" s="76"/>
      <c r="H356" s="89"/>
      <c r="O356" s="28"/>
    </row>
    <row r="357" spans="4:15" x14ac:dyDescent="0.25">
      <c r="D357" s="76"/>
      <c r="H357" s="89"/>
      <c r="O357" s="28"/>
    </row>
    <row r="358" spans="4:15" x14ac:dyDescent="0.25">
      <c r="D358" s="76"/>
      <c r="H358" s="89"/>
      <c r="O358" s="28"/>
    </row>
    <row r="359" spans="4:15" x14ac:dyDescent="0.25">
      <c r="D359" s="76"/>
      <c r="H359" s="89"/>
      <c r="O359" s="28"/>
    </row>
    <row r="360" spans="4:15" x14ac:dyDescent="0.25">
      <c r="D360" s="76"/>
      <c r="H360" s="89"/>
      <c r="O360" s="28"/>
    </row>
    <row r="361" spans="4:15" x14ac:dyDescent="0.25">
      <c r="D361" s="76"/>
      <c r="H361" s="89"/>
      <c r="O361" s="28"/>
    </row>
    <row r="362" spans="4:15" x14ac:dyDescent="0.25">
      <c r="D362" s="76"/>
      <c r="H362" s="89"/>
      <c r="O362" s="28"/>
    </row>
    <row r="363" spans="4:15" x14ac:dyDescent="0.25">
      <c r="D363" s="76"/>
      <c r="O363" s="28"/>
    </row>
    <row r="364" spans="4:15" x14ac:dyDescent="0.25">
      <c r="D364" s="76"/>
      <c r="O364" s="28"/>
    </row>
    <row r="365" spans="4:15" x14ac:dyDescent="0.25">
      <c r="D365" s="76"/>
      <c r="O365" s="28"/>
    </row>
    <row r="366" spans="4:15" x14ac:dyDescent="0.25">
      <c r="D366" s="76"/>
      <c r="O366" s="28"/>
    </row>
    <row r="367" spans="4:15" x14ac:dyDescent="0.25">
      <c r="D367" s="76"/>
      <c r="O367" s="28"/>
    </row>
    <row r="368" spans="4:15" x14ac:dyDescent="0.25">
      <c r="D368" s="76"/>
      <c r="O368" s="28"/>
    </row>
    <row r="369" spans="4:15" x14ac:dyDescent="0.25">
      <c r="D369" s="76"/>
      <c r="O369" s="28"/>
    </row>
    <row r="370" spans="4:15" x14ac:dyDescent="0.25">
      <c r="D370" s="76"/>
      <c r="O370" s="28"/>
    </row>
    <row r="371" spans="4:15" x14ac:dyDescent="0.25">
      <c r="D371" s="76"/>
      <c r="O371" s="28"/>
    </row>
    <row r="372" spans="4:15" x14ac:dyDescent="0.25">
      <c r="D372" s="76"/>
      <c r="O372" s="28"/>
    </row>
    <row r="373" spans="4:15" x14ac:dyDescent="0.25">
      <c r="D373" s="76"/>
      <c r="O373" s="28"/>
    </row>
    <row r="374" spans="4:15" x14ac:dyDescent="0.25">
      <c r="D374" s="76"/>
      <c r="O374" s="28"/>
    </row>
    <row r="375" spans="4:15" x14ac:dyDescent="0.25">
      <c r="D375" s="76"/>
      <c r="O375" s="28"/>
    </row>
    <row r="376" spans="4:15" x14ac:dyDescent="0.25">
      <c r="O376" s="28"/>
    </row>
    <row r="377" spans="4:15" x14ac:dyDescent="0.25">
      <c r="O377" s="28"/>
    </row>
    <row r="378" spans="4:15" x14ac:dyDescent="0.25">
      <c r="O378" s="28"/>
    </row>
    <row r="379" spans="4:15" x14ac:dyDescent="0.25">
      <c r="O379" s="28"/>
    </row>
    <row r="380" spans="4:15" x14ac:dyDescent="0.25">
      <c r="O380" s="28"/>
    </row>
    <row r="381" spans="4:15" x14ac:dyDescent="0.25">
      <c r="O381" s="28"/>
    </row>
    <row r="382" spans="4:15" x14ac:dyDescent="0.25">
      <c r="O382" s="28"/>
    </row>
    <row r="383" spans="4:15" x14ac:dyDescent="0.25">
      <c r="O383" s="28"/>
    </row>
    <row r="384" spans="4:15" x14ac:dyDescent="0.25">
      <c r="O384" s="28"/>
    </row>
    <row r="385" spans="15:15" x14ac:dyDescent="0.25">
      <c r="O385" s="28"/>
    </row>
    <row r="386" spans="15:15" x14ac:dyDescent="0.25">
      <c r="O386" s="28"/>
    </row>
    <row r="387" spans="15:15" x14ac:dyDescent="0.25">
      <c r="O387" s="28"/>
    </row>
    <row r="388" spans="15:15" x14ac:dyDescent="0.25">
      <c r="O388" s="28"/>
    </row>
    <row r="389" spans="15:15" x14ac:dyDescent="0.25">
      <c r="O389" s="28"/>
    </row>
    <row r="390" spans="15:15" x14ac:dyDescent="0.25">
      <c r="O390" s="28"/>
    </row>
    <row r="391" spans="15:15" x14ac:dyDescent="0.25">
      <c r="O391" s="28"/>
    </row>
    <row r="392" spans="15:15" x14ac:dyDescent="0.25">
      <c r="O392" s="28"/>
    </row>
    <row r="393" spans="15:15" x14ac:dyDescent="0.25">
      <c r="O393" s="28"/>
    </row>
    <row r="394" spans="15:15" x14ac:dyDescent="0.25">
      <c r="O394" s="28"/>
    </row>
    <row r="395" spans="15:15" x14ac:dyDescent="0.25">
      <c r="O395" s="28"/>
    </row>
    <row r="396" spans="15:15" x14ac:dyDescent="0.25">
      <c r="O396" s="28"/>
    </row>
    <row r="397" spans="15:15" x14ac:dyDescent="0.25">
      <c r="O397" s="28"/>
    </row>
    <row r="398" spans="15:15" x14ac:dyDescent="0.25">
      <c r="O398" s="28"/>
    </row>
    <row r="399" spans="15:15" x14ac:dyDescent="0.25">
      <c r="O399" s="28"/>
    </row>
    <row r="400" spans="15:15" x14ac:dyDescent="0.25">
      <c r="O400" s="28"/>
    </row>
    <row r="401" spans="15:15" x14ac:dyDescent="0.25">
      <c r="O401" s="28"/>
    </row>
    <row r="402" spans="15:15" x14ac:dyDescent="0.25">
      <c r="O402" s="28"/>
    </row>
    <row r="403" spans="15:15" x14ac:dyDescent="0.25">
      <c r="O403" s="28"/>
    </row>
    <row r="404" spans="15:15" x14ac:dyDescent="0.25">
      <c r="O404" s="28"/>
    </row>
    <row r="405" spans="15:15" x14ac:dyDescent="0.25">
      <c r="O405" s="28"/>
    </row>
    <row r="406" spans="15:15" x14ac:dyDescent="0.25">
      <c r="O406" s="28"/>
    </row>
    <row r="407" spans="15:15" x14ac:dyDescent="0.25">
      <c r="O407" s="28"/>
    </row>
    <row r="408" spans="15:15" x14ac:dyDescent="0.25">
      <c r="O408" s="28"/>
    </row>
    <row r="409" spans="15:15" x14ac:dyDescent="0.25">
      <c r="O409" s="28"/>
    </row>
    <row r="410" spans="15:15" x14ac:dyDescent="0.25">
      <c r="O410" s="28"/>
    </row>
    <row r="411" spans="15:15" x14ac:dyDescent="0.25">
      <c r="O411" s="28"/>
    </row>
    <row r="412" spans="15:15" x14ac:dyDescent="0.25">
      <c r="O412" s="28"/>
    </row>
    <row r="413" spans="15:15" x14ac:dyDescent="0.25">
      <c r="O413" s="28"/>
    </row>
    <row r="414" spans="15:15" x14ac:dyDescent="0.25">
      <c r="O414" s="28"/>
    </row>
    <row r="415" spans="15:15" x14ac:dyDescent="0.25">
      <c r="O415" s="28"/>
    </row>
    <row r="416" spans="15:15" x14ac:dyDescent="0.25">
      <c r="O416" s="28"/>
    </row>
    <row r="417" spans="15:15" x14ac:dyDescent="0.25">
      <c r="O417" s="28"/>
    </row>
    <row r="418" spans="15:15" x14ac:dyDescent="0.25">
      <c r="O418" s="28"/>
    </row>
    <row r="419" spans="15:15" x14ac:dyDescent="0.25">
      <c r="O419" s="28"/>
    </row>
    <row r="420" spans="15:15" x14ac:dyDescent="0.25">
      <c r="O420" s="28"/>
    </row>
    <row r="421" spans="15:15" x14ac:dyDescent="0.25">
      <c r="O421" s="28"/>
    </row>
    <row r="422" spans="15:15" x14ac:dyDescent="0.25">
      <c r="O422" s="28"/>
    </row>
    <row r="423" spans="15:15" x14ac:dyDescent="0.25">
      <c r="O423" s="28"/>
    </row>
    <row r="424" spans="15:15" x14ac:dyDescent="0.25">
      <c r="O424" s="28"/>
    </row>
    <row r="425" spans="15:15" x14ac:dyDescent="0.25">
      <c r="O425" s="28"/>
    </row>
    <row r="426" spans="15:15" x14ac:dyDescent="0.25">
      <c r="O426" s="28"/>
    </row>
    <row r="427" spans="15:15" x14ac:dyDescent="0.25">
      <c r="O427" s="28"/>
    </row>
    <row r="428" spans="15:15" x14ac:dyDescent="0.25">
      <c r="O428" s="28"/>
    </row>
    <row r="429" spans="15:15" x14ac:dyDescent="0.25">
      <c r="O429" s="28"/>
    </row>
    <row r="430" spans="15:15" x14ac:dyDescent="0.25">
      <c r="O430" s="28"/>
    </row>
    <row r="431" spans="15:15" x14ac:dyDescent="0.25">
      <c r="O431" s="28"/>
    </row>
    <row r="432" spans="15:15" x14ac:dyDescent="0.25">
      <c r="O432" s="28"/>
    </row>
    <row r="433" spans="15:15" x14ac:dyDescent="0.25">
      <c r="O433" s="28"/>
    </row>
    <row r="434" spans="15:15" x14ac:dyDescent="0.25">
      <c r="O434" s="28"/>
    </row>
    <row r="435" spans="15:15" x14ac:dyDescent="0.25">
      <c r="O435" s="28"/>
    </row>
    <row r="436" spans="15:15" x14ac:dyDescent="0.25">
      <c r="O436" s="28"/>
    </row>
    <row r="437" spans="15:15" x14ac:dyDescent="0.25">
      <c r="O437" s="28"/>
    </row>
    <row r="438" spans="15:15" x14ac:dyDescent="0.25">
      <c r="O438" s="28"/>
    </row>
    <row r="439" spans="15:15" x14ac:dyDescent="0.25">
      <c r="O439" s="28"/>
    </row>
    <row r="440" spans="15:15" x14ac:dyDescent="0.25">
      <c r="O440" s="28"/>
    </row>
    <row r="441" spans="15:15" x14ac:dyDescent="0.25">
      <c r="O441" s="28"/>
    </row>
    <row r="442" spans="15:15" x14ac:dyDescent="0.25">
      <c r="O442" s="28"/>
    </row>
    <row r="443" spans="15:15" x14ac:dyDescent="0.25">
      <c r="O443" s="28"/>
    </row>
    <row r="444" spans="15:15" x14ac:dyDescent="0.25">
      <c r="O444" s="28"/>
    </row>
    <row r="445" spans="15:15" x14ac:dyDescent="0.25">
      <c r="O445" s="28"/>
    </row>
    <row r="446" spans="15:15" x14ac:dyDescent="0.25">
      <c r="O446" s="28"/>
    </row>
    <row r="447" spans="15:15" x14ac:dyDescent="0.25">
      <c r="O447" s="28"/>
    </row>
    <row r="448" spans="15:15" x14ac:dyDescent="0.25">
      <c r="O448" s="28"/>
    </row>
    <row r="449" spans="15:15" x14ac:dyDescent="0.25">
      <c r="O449" s="28"/>
    </row>
    <row r="450" spans="15:15" x14ac:dyDescent="0.25">
      <c r="O450" s="28"/>
    </row>
    <row r="451" spans="15:15" x14ac:dyDescent="0.25">
      <c r="O451" s="28"/>
    </row>
    <row r="452" spans="15:15" x14ac:dyDescent="0.25">
      <c r="O452" s="28"/>
    </row>
    <row r="453" spans="15:15" x14ac:dyDescent="0.25">
      <c r="O453" s="28"/>
    </row>
    <row r="454" spans="15:15" x14ac:dyDescent="0.25">
      <c r="O454" s="28"/>
    </row>
    <row r="455" spans="15:15" x14ac:dyDescent="0.25">
      <c r="O455" s="28"/>
    </row>
    <row r="456" spans="15:15" x14ac:dyDescent="0.25">
      <c r="O456" s="28"/>
    </row>
    <row r="457" spans="15:15" x14ac:dyDescent="0.25">
      <c r="O457" s="28"/>
    </row>
    <row r="458" spans="15:15" x14ac:dyDescent="0.25">
      <c r="O458" s="28"/>
    </row>
    <row r="459" spans="15:15" x14ac:dyDescent="0.25">
      <c r="O459" s="28"/>
    </row>
    <row r="460" spans="15:15" x14ac:dyDescent="0.25">
      <c r="O460" s="28"/>
    </row>
    <row r="461" spans="15:15" x14ac:dyDescent="0.25">
      <c r="O461" s="28"/>
    </row>
    <row r="462" spans="15:15" x14ac:dyDescent="0.25">
      <c r="O462" s="28"/>
    </row>
    <row r="463" spans="15:15" x14ac:dyDescent="0.25">
      <c r="O463" s="28"/>
    </row>
    <row r="464" spans="15:15" x14ac:dyDescent="0.25">
      <c r="O464" s="28"/>
    </row>
    <row r="465" spans="15:15" x14ac:dyDescent="0.25">
      <c r="O465" s="28"/>
    </row>
    <row r="466" spans="15:15" x14ac:dyDescent="0.25">
      <c r="O466" s="28"/>
    </row>
    <row r="467" spans="15:15" x14ac:dyDescent="0.25">
      <c r="O467" s="28"/>
    </row>
    <row r="468" spans="15:15" x14ac:dyDescent="0.25">
      <c r="O468" s="28"/>
    </row>
    <row r="469" spans="15:15" x14ac:dyDescent="0.25">
      <c r="O469" s="28"/>
    </row>
    <row r="470" spans="15:15" x14ac:dyDescent="0.25">
      <c r="O470" s="28"/>
    </row>
    <row r="471" spans="15:15" x14ac:dyDescent="0.25">
      <c r="O471" s="28"/>
    </row>
    <row r="472" spans="15:15" x14ac:dyDescent="0.25">
      <c r="O472" s="28"/>
    </row>
    <row r="473" spans="15:15" x14ac:dyDescent="0.25">
      <c r="O473" s="28"/>
    </row>
    <row r="474" spans="15:15" x14ac:dyDescent="0.25">
      <c r="O474" s="28"/>
    </row>
    <row r="475" spans="15:15" x14ac:dyDescent="0.25">
      <c r="O475" s="28"/>
    </row>
    <row r="476" spans="15:15" x14ac:dyDescent="0.25">
      <c r="O476" s="28"/>
    </row>
    <row r="477" spans="15:15" x14ac:dyDescent="0.25">
      <c r="O477" s="28"/>
    </row>
    <row r="478" spans="15:15" x14ac:dyDescent="0.25">
      <c r="O478" s="28"/>
    </row>
    <row r="479" spans="15:15" x14ac:dyDescent="0.25">
      <c r="O479" s="28"/>
    </row>
    <row r="480" spans="15:15" x14ac:dyDescent="0.25">
      <c r="O480" s="28"/>
    </row>
    <row r="481" spans="15:15" x14ac:dyDescent="0.25">
      <c r="O481" s="28"/>
    </row>
    <row r="482" spans="15:15" x14ac:dyDescent="0.25">
      <c r="O482" s="28"/>
    </row>
    <row r="483" spans="15:15" x14ac:dyDescent="0.25">
      <c r="O483" s="28"/>
    </row>
    <row r="484" spans="15:15" x14ac:dyDescent="0.25">
      <c r="O484" s="28"/>
    </row>
    <row r="485" spans="15:15" x14ac:dyDescent="0.25">
      <c r="O485" s="28"/>
    </row>
    <row r="486" spans="15:15" x14ac:dyDescent="0.25">
      <c r="O486" s="28"/>
    </row>
    <row r="487" spans="15:15" x14ac:dyDescent="0.25">
      <c r="O487" s="28"/>
    </row>
    <row r="488" spans="15:15" x14ac:dyDescent="0.25">
      <c r="O488" s="28"/>
    </row>
    <row r="489" spans="15:15" x14ac:dyDescent="0.25">
      <c r="O489" s="28"/>
    </row>
    <row r="490" spans="15:15" x14ac:dyDescent="0.25">
      <c r="O490" s="28"/>
    </row>
    <row r="491" spans="15:15" x14ac:dyDescent="0.25">
      <c r="O491" s="28"/>
    </row>
    <row r="492" spans="15:15" x14ac:dyDescent="0.25">
      <c r="O492" s="28"/>
    </row>
    <row r="493" spans="15:15" x14ac:dyDescent="0.25">
      <c r="O493" s="28"/>
    </row>
    <row r="494" spans="15:15" x14ac:dyDescent="0.25">
      <c r="O494" s="28"/>
    </row>
    <row r="495" spans="15:15" x14ac:dyDescent="0.25">
      <c r="O495" s="28"/>
    </row>
    <row r="496" spans="15:15" x14ac:dyDescent="0.25">
      <c r="O496" s="28"/>
    </row>
    <row r="497" spans="15:15" x14ac:dyDescent="0.25">
      <c r="O497" s="28"/>
    </row>
    <row r="498" spans="15:15" x14ac:dyDescent="0.25">
      <c r="O498" s="28"/>
    </row>
    <row r="499" spans="15:15" x14ac:dyDescent="0.25">
      <c r="O499" s="28"/>
    </row>
    <row r="500" spans="15:15" x14ac:dyDescent="0.25">
      <c r="O500" s="28"/>
    </row>
    <row r="501" spans="15:15" x14ac:dyDescent="0.25">
      <c r="O501" s="28"/>
    </row>
    <row r="502" spans="15:15" x14ac:dyDescent="0.25">
      <c r="O502" s="28"/>
    </row>
    <row r="503" spans="15:15" x14ac:dyDescent="0.25">
      <c r="O503" s="28"/>
    </row>
    <row r="504" spans="15:15" x14ac:dyDescent="0.25">
      <c r="O504" s="28"/>
    </row>
    <row r="505" spans="15:15" x14ac:dyDescent="0.25">
      <c r="O505" s="28"/>
    </row>
    <row r="506" spans="15:15" x14ac:dyDescent="0.25">
      <c r="O506" s="28"/>
    </row>
    <row r="507" spans="15:15" x14ac:dyDescent="0.25">
      <c r="O507" s="28"/>
    </row>
    <row r="508" spans="15:15" x14ac:dyDescent="0.25">
      <c r="O508" s="28"/>
    </row>
    <row r="509" spans="15:15" x14ac:dyDescent="0.25">
      <c r="O509" s="28"/>
    </row>
    <row r="510" spans="15:15" x14ac:dyDescent="0.25">
      <c r="O510" s="28"/>
    </row>
    <row r="511" spans="15:15" x14ac:dyDescent="0.25">
      <c r="O511" s="28"/>
    </row>
    <row r="512" spans="15:15" x14ac:dyDescent="0.25">
      <c r="O512" s="28"/>
    </row>
    <row r="513" spans="15:15" x14ac:dyDescent="0.25">
      <c r="O513" s="28"/>
    </row>
    <row r="514" spans="15:15" x14ac:dyDescent="0.25">
      <c r="O514" s="28"/>
    </row>
    <row r="515" spans="15:15" x14ac:dyDescent="0.25">
      <c r="O515" s="28"/>
    </row>
    <row r="516" spans="15:15" x14ac:dyDescent="0.25">
      <c r="O516" s="28"/>
    </row>
    <row r="517" spans="15:15" x14ac:dyDescent="0.25">
      <c r="O517" s="28"/>
    </row>
    <row r="518" spans="15:15" x14ac:dyDescent="0.25">
      <c r="O518" s="28"/>
    </row>
    <row r="519" spans="15:15" x14ac:dyDescent="0.25">
      <c r="O519" s="28"/>
    </row>
    <row r="520" spans="15:15" x14ac:dyDescent="0.25">
      <c r="O520" s="28"/>
    </row>
    <row r="521" spans="15:15" x14ac:dyDescent="0.25">
      <c r="O521" s="28"/>
    </row>
    <row r="522" spans="15:15" x14ac:dyDescent="0.25">
      <c r="O522" s="28"/>
    </row>
    <row r="523" spans="15:15" x14ac:dyDescent="0.25">
      <c r="O523" s="28"/>
    </row>
    <row r="524" spans="15:15" x14ac:dyDescent="0.25">
      <c r="O524" s="28"/>
    </row>
    <row r="525" spans="15:15" x14ac:dyDescent="0.25">
      <c r="O525" s="28"/>
    </row>
    <row r="526" spans="15:15" x14ac:dyDescent="0.25">
      <c r="O526" s="28"/>
    </row>
    <row r="527" spans="15:15" x14ac:dyDescent="0.25">
      <c r="O527" s="28"/>
    </row>
    <row r="528" spans="15:15" x14ac:dyDescent="0.25">
      <c r="O528" s="28"/>
    </row>
    <row r="529" spans="15:15" x14ac:dyDescent="0.25">
      <c r="O529" s="28"/>
    </row>
    <row r="530" spans="15:15" x14ac:dyDescent="0.25">
      <c r="O530" s="28"/>
    </row>
    <row r="531" spans="15:15" x14ac:dyDescent="0.25">
      <c r="O531" s="28"/>
    </row>
    <row r="532" spans="15:15" x14ac:dyDescent="0.25">
      <c r="O532" s="28"/>
    </row>
    <row r="533" spans="15:15" x14ac:dyDescent="0.25">
      <c r="O533" s="28"/>
    </row>
    <row r="534" spans="15:15" x14ac:dyDescent="0.25">
      <c r="O534" s="28"/>
    </row>
    <row r="535" spans="15:15" x14ac:dyDescent="0.25">
      <c r="O535" s="28"/>
    </row>
    <row r="536" spans="15:15" x14ac:dyDescent="0.25">
      <c r="O536" s="28"/>
    </row>
    <row r="537" spans="15:15" x14ac:dyDescent="0.25">
      <c r="O537" s="28"/>
    </row>
    <row r="538" spans="15:15" x14ac:dyDescent="0.25">
      <c r="O538" s="28"/>
    </row>
    <row r="539" spans="15:15" x14ac:dyDescent="0.25">
      <c r="O539" s="28"/>
    </row>
    <row r="540" spans="15:15" x14ac:dyDescent="0.25">
      <c r="O540" s="28"/>
    </row>
    <row r="541" spans="15:15" x14ac:dyDescent="0.25">
      <c r="O541" s="28"/>
    </row>
    <row r="542" spans="15:15" x14ac:dyDescent="0.25">
      <c r="O542" s="28"/>
    </row>
    <row r="543" spans="15:15" x14ac:dyDescent="0.25">
      <c r="O543" s="28"/>
    </row>
    <row r="544" spans="15:15" x14ac:dyDescent="0.25">
      <c r="O544" s="28"/>
    </row>
    <row r="545" spans="15:15" x14ac:dyDescent="0.25">
      <c r="O545" s="28"/>
    </row>
    <row r="546" spans="15:15" x14ac:dyDescent="0.25">
      <c r="O546" s="28"/>
    </row>
    <row r="547" spans="15:15" x14ac:dyDescent="0.25">
      <c r="O547" s="28"/>
    </row>
    <row r="548" spans="15:15" x14ac:dyDescent="0.25">
      <c r="O548" s="28"/>
    </row>
    <row r="549" spans="15:15" x14ac:dyDescent="0.25">
      <c r="O549" s="28"/>
    </row>
    <row r="550" spans="15:15" x14ac:dyDescent="0.25">
      <c r="O550" s="28"/>
    </row>
    <row r="551" spans="15:15" x14ac:dyDescent="0.25">
      <c r="O551" s="28"/>
    </row>
    <row r="552" spans="15:15" x14ac:dyDescent="0.25">
      <c r="O552" s="28"/>
    </row>
    <row r="553" spans="15:15" x14ac:dyDescent="0.25">
      <c r="O553" s="28"/>
    </row>
    <row r="554" spans="15:15" x14ac:dyDescent="0.25">
      <c r="O554" s="28"/>
    </row>
    <row r="555" spans="15:15" x14ac:dyDescent="0.25">
      <c r="O555" s="28"/>
    </row>
    <row r="556" spans="15:15" x14ac:dyDescent="0.25">
      <c r="O556" s="28"/>
    </row>
    <row r="557" spans="15:15" x14ac:dyDescent="0.25">
      <c r="O557" s="28"/>
    </row>
    <row r="558" spans="15:15" x14ac:dyDescent="0.25">
      <c r="O558" s="28"/>
    </row>
    <row r="559" spans="15:15" x14ac:dyDescent="0.25">
      <c r="O559" s="28"/>
    </row>
    <row r="560" spans="15:15" x14ac:dyDescent="0.25">
      <c r="O560" s="28"/>
    </row>
    <row r="561" spans="15:15" x14ac:dyDescent="0.25">
      <c r="O561" s="28"/>
    </row>
    <row r="562" spans="15:15" x14ac:dyDescent="0.25">
      <c r="O562" s="28"/>
    </row>
    <row r="563" spans="15:15" x14ac:dyDescent="0.25">
      <c r="O563" s="28"/>
    </row>
    <row r="564" spans="15:15" x14ac:dyDescent="0.25">
      <c r="O564" s="28"/>
    </row>
    <row r="565" spans="15:15" x14ac:dyDescent="0.25">
      <c r="O565" s="28"/>
    </row>
    <row r="566" spans="15:15" x14ac:dyDescent="0.25">
      <c r="O566" s="28"/>
    </row>
    <row r="567" spans="15:15" x14ac:dyDescent="0.25">
      <c r="O567" s="28"/>
    </row>
    <row r="568" spans="15:15" x14ac:dyDescent="0.25">
      <c r="O568" s="28"/>
    </row>
    <row r="569" spans="15:15" x14ac:dyDescent="0.25">
      <c r="O569" s="28"/>
    </row>
    <row r="570" spans="15:15" x14ac:dyDescent="0.25">
      <c r="O570" s="28"/>
    </row>
    <row r="571" spans="15:15" x14ac:dyDescent="0.25">
      <c r="O571" s="28"/>
    </row>
    <row r="572" spans="15:15" x14ac:dyDescent="0.25">
      <c r="O572" s="28"/>
    </row>
    <row r="573" spans="15:15" x14ac:dyDescent="0.25">
      <c r="O573" s="28"/>
    </row>
    <row r="574" spans="15:15" x14ac:dyDescent="0.25">
      <c r="O574" s="28"/>
    </row>
    <row r="575" spans="15:15" x14ac:dyDescent="0.25">
      <c r="O575" s="28"/>
    </row>
    <row r="576" spans="15:15" x14ac:dyDescent="0.25">
      <c r="O576" s="28"/>
    </row>
    <row r="577" spans="15:15" x14ac:dyDescent="0.25">
      <c r="O577" s="28"/>
    </row>
    <row r="578" spans="15:15" x14ac:dyDescent="0.25">
      <c r="O578" s="28"/>
    </row>
    <row r="579" spans="15:15" x14ac:dyDescent="0.25">
      <c r="O579" s="28"/>
    </row>
    <row r="580" spans="15:15" x14ac:dyDescent="0.25">
      <c r="O580" s="28"/>
    </row>
    <row r="581" spans="15:15" x14ac:dyDescent="0.25">
      <c r="O581" s="28"/>
    </row>
    <row r="582" spans="15:15" x14ac:dyDescent="0.25">
      <c r="O582" s="28"/>
    </row>
    <row r="583" spans="15:15" x14ac:dyDescent="0.25">
      <c r="O583" s="28"/>
    </row>
    <row r="584" spans="15:15" x14ac:dyDescent="0.25">
      <c r="O584" s="28"/>
    </row>
    <row r="585" spans="15:15" x14ac:dyDescent="0.25">
      <c r="O585" s="28"/>
    </row>
    <row r="586" spans="15:15" x14ac:dyDescent="0.25">
      <c r="O586" s="28"/>
    </row>
    <row r="587" spans="15:15" x14ac:dyDescent="0.25">
      <c r="O587" s="28"/>
    </row>
    <row r="588" spans="15:15" x14ac:dyDescent="0.25">
      <c r="O588" s="28"/>
    </row>
    <row r="589" spans="15:15" x14ac:dyDescent="0.25">
      <c r="O589" s="28"/>
    </row>
    <row r="590" spans="15:15" x14ac:dyDescent="0.25">
      <c r="O590" s="28"/>
    </row>
    <row r="591" spans="15:15" x14ac:dyDescent="0.25">
      <c r="O591" s="28"/>
    </row>
    <row r="592" spans="15:15" x14ac:dyDescent="0.25">
      <c r="O592" s="28"/>
    </row>
    <row r="593" spans="15:15" x14ac:dyDescent="0.25">
      <c r="O593" s="28"/>
    </row>
    <row r="594" spans="15:15" x14ac:dyDescent="0.25">
      <c r="O594" s="28"/>
    </row>
    <row r="595" spans="15:15" x14ac:dyDescent="0.25">
      <c r="O595" s="28"/>
    </row>
    <row r="596" spans="15:15" x14ac:dyDescent="0.25">
      <c r="O596" s="28"/>
    </row>
    <row r="597" spans="15:15" x14ac:dyDescent="0.25">
      <c r="O597" s="28"/>
    </row>
    <row r="598" spans="15:15" x14ac:dyDescent="0.25">
      <c r="O598" s="28"/>
    </row>
    <row r="599" spans="15:15" x14ac:dyDescent="0.25">
      <c r="O599" s="28"/>
    </row>
    <row r="600" spans="15:15" x14ac:dyDescent="0.25">
      <c r="O600" s="28"/>
    </row>
    <row r="601" spans="15:15" x14ac:dyDescent="0.25">
      <c r="O601" s="28"/>
    </row>
    <row r="602" spans="15:15" x14ac:dyDescent="0.25">
      <c r="O602" s="28"/>
    </row>
    <row r="603" spans="15:15" x14ac:dyDescent="0.25">
      <c r="O603" s="28"/>
    </row>
    <row r="604" spans="15:15" x14ac:dyDescent="0.25">
      <c r="O604" s="28"/>
    </row>
    <row r="605" spans="15:15" x14ac:dyDescent="0.25">
      <c r="O605" s="28"/>
    </row>
    <row r="606" spans="15:15" x14ac:dyDescent="0.25">
      <c r="O606" s="28"/>
    </row>
    <row r="607" spans="15:15" x14ac:dyDescent="0.25">
      <c r="O607" s="28"/>
    </row>
    <row r="608" spans="15:15" x14ac:dyDescent="0.25">
      <c r="O608" s="28"/>
    </row>
    <row r="609" spans="15:15" x14ac:dyDescent="0.25">
      <c r="O609" s="28"/>
    </row>
    <row r="610" spans="15:15" x14ac:dyDescent="0.25">
      <c r="O610" s="28"/>
    </row>
    <row r="611" spans="15:15" x14ac:dyDescent="0.25">
      <c r="O611" s="28"/>
    </row>
    <row r="612" spans="15:15" x14ac:dyDescent="0.25">
      <c r="O612" s="28"/>
    </row>
    <row r="613" spans="15:15" x14ac:dyDescent="0.25">
      <c r="O613" s="28"/>
    </row>
    <row r="614" spans="15:15" x14ac:dyDescent="0.25">
      <c r="O614" s="28"/>
    </row>
    <row r="615" spans="15:15" x14ac:dyDescent="0.25">
      <c r="O615" s="28"/>
    </row>
    <row r="616" spans="15:15" x14ac:dyDescent="0.25">
      <c r="O616" s="28"/>
    </row>
    <row r="617" spans="15:15" x14ac:dyDescent="0.25">
      <c r="O617" s="28"/>
    </row>
    <row r="618" spans="15:15" x14ac:dyDescent="0.25">
      <c r="O618" s="28"/>
    </row>
    <row r="619" spans="15:15" x14ac:dyDescent="0.25">
      <c r="O619" s="28"/>
    </row>
    <row r="620" spans="15:15" x14ac:dyDescent="0.25">
      <c r="O620" s="28"/>
    </row>
    <row r="621" spans="15:15" x14ac:dyDescent="0.25">
      <c r="O621" s="28"/>
    </row>
    <row r="622" spans="15:15" x14ac:dyDescent="0.25">
      <c r="O622" s="28"/>
    </row>
    <row r="623" spans="15:15" x14ac:dyDescent="0.25">
      <c r="O623" s="28"/>
    </row>
    <row r="624" spans="15:15" x14ac:dyDescent="0.25">
      <c r="O624" s="28"/>
    </row>
    <row r="625" spans="15:15" x14ac:dyDescent="0.25">
      <c r="O625" s="28"/>
    </row>
    <row r="626" spans="15:15" x14ac:dyDescent="0.25">
      <c r="O626" s="28"/>
    </row>
    <row r="627" spans="15:15" x14ac:dyDescent="0.25">
      <c r="O627" s="28"/>
    </row>
    <row r="628" spans="15:15" x14ac:dyDescent="0.25">
      <c r="O628" s="28"/>
    </row>
    <row r="629" spans="15:15" x14ac:dyDescent="0.25">
      <c r="O629" s="28"/>
    </row>
    <row r="630" spans="15:15" x14ac:dyDescent="0.25">
      <c r="O630" s="28"/>
    </row>
    <row r="631" spans="15:15" x14ac:dyDescent="0.25">
      <c r="O631" s="28"/>
    </row>
    <row r="632" spans="15:15" x14ac:dyDescent="0.25">
      <c r="O632" s="28"/>
    </row>
    <row r="633" spans="15:15" x14ac:dyDescent="0.25">
      <c r="O633" s="28"/>
    </row>
    <row r="634" spans="15:15" x14ac:dyDescent="0.25">
      <c r="O634" s="28"/>
    </row>
    <row r="635" spans="15:15" x14ac:dyDescent="0.25">
      <c r="O635" s="28"/>
    </row>
    <row r="636" spans="15:15" x14ac:dyDescent="0.25">
      <c r="O636" s="28"/>
    </row>
    <row r="637" spans="15:15" x14ac:dyDescent="0.25">
      <c r="O637" s="28"/>
    </row>
    <row r="638" spans="15:15" x14ac:dyDescent="0.25">
      <c r="O638" s="28"/>
    </row>
    <row r="639" spans="15:15" x14ac:dyDescent="0.25">
      <c r="O639" s="28"/>
    </row>
    <row r="640" spans="15:15" x14ac:dyDescent="0.25">
      <c r="O640" s="28"/>
    </row>
    <row r="641" spans="15:15" x14ac:dyDescent="0.25">
      <c r="O641" s="28"/>
    </row>
    <row r="642" spans="15:15" x14ac:dyDescent="0.25">
      <c r="O642" s="28"/>
    </row>
    <row r="643" spans="15:15" x14ac:dyDescent="0.25">
      <c r="O643" s="28"/>
    </row>
    <row r="644" spans="15:15" x14ac:dyDescent="0.25">
      <c r="O644" s="28"/>
    </row>
    <row r="645" spans="15:15" x14ac:dyDescent="0.25">
      <c r="O645" s="28"/>
    </row>
    <row r="646" spans="15:15" x14ac:dyDescent="0.25">
      <c r="O646" s="28"/>
    </row>
    <row r="647" spans="15:15" x14ac:dyDescent="0.25">
      <c r="O647" s="28"/>
    </row>
    <row r="648" spans="15:15" x14ac:dyDescent="0.25">
      <c r="O648" s="28"/>
    </row>
    <row r="649" spans="15:15" x14ac:dyDescent="0.25">
      <c r="O649" s="28"/>
    </row>
    <row r="650" spans="15:15" x14ac:dyDescent="0.25">
      <c r="O650" s="28"/>
    </row>
    <row r="651" spans="15:15" x14ac:dyDescent="0.25">
      <c r="O651" s="28"/>
    </row>
    <row r="652" spans="15:15" x14ac:dyDescent="0.25">
      <c r="O652" s="28"/>
    </row>
    <row r="653" spans="15:15" x14ac:dyDescent="0.25">
      <c r="O653" s="28"/>
    </row>
    <row r="654" spans="15:15" x14ac:dyDescent="0.25">
      <c r="O654" s="28"/>
    </row>
    <row r="655" spans="15:15" x14ac:dyDescent="0.25">
      <c r="O655" s="28"/>
    </row>
    <row r="656" spans="15:15" x14ac:dyDescent="0.25">
      <c r="O656" s="28"/>
    </row>
    <row r="657" spans="15:15" x14ac:dyDescent="0.25">
      <c r="O657" s="28"/>
    </row>
    <row r="658" spans="15:15" x14ac:dyDescent="0.25">
      <c r="O658" s="28"/>
    </row>
    <row r="659" spans="15:15" x14ac:dyDescent="0.25">
      <c r="O659" s="28"/>
    </row>
    <row r="660" spans="15:15" x14ac:dyDescent="0.25">
      <c r="O660" s="28"/>
    </row>
    <row r="661" spans="15:15" x14ac:dyDescent="0.25">
      <c r="O661" s="28"/>
    </row>
    <row r="662" spans="15:15" x14ac:dyDescent="0.25">
      <c r="O662" s="28"/>
    </row>
    <row r="663" spans="15:15" x14ac:dyDescent="0.25">
      <c r="O663" s="28"/>
    </row>
    <row r="664" spans="15:15" x14ac:dyDescent="0.25">
      <c r="O664" s="28"/>
    </row>
    <row r="665" spans="15:15" x14ac:dyDescent="0.25">
      <c r="O665" s="28"/>
    </row>
    <row r="666" spans="15:15" x14ac:dyDescent="0.25">
      <c r="O666" s="28"/>
    </row>
    <row r="667" spans="15:15" x14ac:dyDescent="0.25">
      <c r="O667" s="28"/>
    </row>
    <row r="668" spans="15:15" x14ac:dyDescent="0.25">
      <c r="O668" s="28"/>
    </row>
    <row r="669" spans="15:15" x14ac:dyDescent="0.25">
      <c r="O669" s="28"/>
    </row>
    <row r="670" spans="15:15" x14ac:dyDescent="0.25">
      <c r="O670" s="28"/>
    </row>
    <row r="671" spans="15:15" x14ac:dyDescent="0.25">
      <c r="O671" s="28"/>
    </row>
    <row r="672" spans="15:15" x14ac:dyDescent="0.25">
      <c r="O672" s="28"/>
    </row>
    <row r="673" spans="15:15" x14ac:dyDescent="0.25">
      <c r="O673" s="28"/>
    </row>
    <row r="674" spans="15:15" x14ac:dyDescent="0.25">
      <c r="O674" s="28"/>
    </row>
    <row r="675" spans="15:15" x14ac:dyDescent="0.25">
      <c r="O675" s="28"/>
    </row>
    <row r="676" spans="15:15" x14ac:dyDescent="0.25">
      <c r="O676" s="28"/>
    </row>
    <row r="677" spans="15:15" x14ac:dyDescent="0.25">
      <c r="O677" s="28"/>
    </row>
    <row r="678" spans="15:15" x14ac:dyDescent="0.25">
      <c r="O678" s="28"/>
    </row>
    <row r="679" spans="15:15" x14ac:dyDescent="0.25">
      <c r="O679" s="28"/>
    </row>
    <row r="680" spans="15:15" x14ac:dyDescent="0.25">
      <c r="O680" s="28"/>
    </row>
    <row r="681" spans="15:15" x14ac:dyDescent="0.25">
      <c r="O681" s="28"/>
    </row>
    <row r="682" spans="15:15" x14ac:dyDescent="0.25">
      <c r="O682" s="28"/>
    </row>
    <row r="683" spans="15:15" x14ac:dyDescent="0.25">
      <c r="O683" s="28"/>
    </row>
    <row r="684" spans="15:15" x14ac:dyDescent="0.25">
      <c r="O684" s="28"/>
    </row>
    <row r="685" spans="15:15" x14ac:dyDescent="0.25">
      <c r="O685" s="28"/>
    </row>
    <row r="686" spans="15:15" x14ac:dyDescent="0.25">
      <c r="O686" s="28"/>
    </row>
    <row r="687" spans="15:15" x14ac:dyDescent="0.25">
      <c r="O687" s="28"/>
    </row>
    <row r="688" spans="15:15" x14ac:dyDescent="0.25">
      <c r="O688" s="28"/>
    </row>
    <row r="689" spans="15:15" x14ac:dyDescent="0.25">
      <c r="O689" s="28"/>
    </row>
    <row r="690" spans="15:15" x14ac:dyDescent="0.25">
      <c r="O690" s="28"/>
    </row>
    <row r="691" spans="15:15" x14ac:dyDescent="0.25">
      <c r="O691" s="28"/>
    </row>
    <row r="692" spans="15:15" x14ac:dyDescent="0.25">
      <c r="O692" s="28"/>
    </row>
    <row r="693" spans="15:15" x14ac:dyDescent="0.25">
      <c r="O693" s="28"/>
    </row>
    <row r="694" spans="15:15" x14ac:dyDescent="0.25">
      <c r="O694" s="28"/>
    </row>
    <row r="695" spans="15:15" x14ac:dyDescent="0.25">
      <c r="O695" s="28"/>
    </row>
    <row r="696" spans="15:15" x14ac:dyDescent="0.25">
      <c r="O696" s="28"/>
    </row>
    <row r="697" spans="15:15" x14ac:dyDescent="0.25">
      <c r="O697" s="28"/>
    </row>
    <row r="698" spans="15:15" x14ac:dyDescent="0.25">
      <c r="O698" s="28"/>
    </row>
    <row r="699" spans="15:15" x14ac:dyDescent="0.25">
      <c r="O699" s="28"/>
    </row>
    <row r="700" spans="15:15" x14ac:dyDescent="0.25">
      <c r="O700" s="28"/>
    </row>
    <row r="701" spans="15:15" x14ac:dyDescent="0.25">
      <c r="O701" s="28"/>
    </row>
    <row r="702" spans="15:15" x14ac:dyDescent="0.25">
      <c r="O702" s="28"/>
    </row>
    <row r="703" spans="15:15" x14ac:dyDescent="0.25">
      <c r="O703" s="28"/>
    </row>
    <row r="704" spans="15:15" x14ac:dyDescent="0.25">
      <c r="O704" s="28"/>
    </row>
    <row r="705" spans="15:15" x14ac:dyDescent="0.25">
      <c r="O705" s="28"/>
    </row>
    <row r="706" spans="15:15" x14ac:dyDescent="0.25">
      <c r="O706" s="28"/>
    </row>
    <row r="707" spans="15:15" x14ac:dyDescent="0.25">
      <c r="O707" s="28"/>
    </row>
    <row r="708" spans="15:15" x14ac:dyDescent="0.25">
      <c r="O708" s="28"/>
    </row>
    <row r="709" spans="15:15" x14ac:dyDescent="0.25">
      <c r="O709" s="28"/>
    </row>
    <row r="710" spans="15:15" x14ac:dyDescent="0.25">
      <c r="O710" s="28"/>
    </row>
    <row r="711" spans="15:15" x14ac:dyDescent="0.25">
      <c r="O711" s="28"/>
    </row>
    <row r="712" spans="15:15" x14ac:dyDescent="0.25">
      <c r="O712" s="28"/>
    </row>
    <row r="713" spans="15:15" x14ac:dyDescent="0.25">
      <c r="O713" s="28"/>
    </row>
    <row r="714" spans="15:15" x14ac:dyDescent="0.25">
      <c r="O714" s="28"/>
    </row>
    <row r="715" spans="15:15" x14ac:dyDescent="0.25">
      <c r="O715" s="28"/>
    </row>
    <row r="716" spans="15:15" x14ac:dyDescent="0.25">
      <c r="O716" s="28"/>
    </row>
    <row r="717" spans="15:15" x14ac:dyDescent="0.25">
      <c r="O717" s="28"/>
    </row>
    <row r="718" spans="15:15" x14ac:dyDescent="0.25">
      <c r="O718" s="28"/>
    </row>
    <row r="719" spans="15:15" x14ac:dyDescent="0.25">
      <c r="O719" s="28"/>
    </row>
    <row r="720" spans="15:15" x14ac:dyDescent="0.25">
      <c r="O720" s="28"/>
    </row>
    <row r="721" spans="15:15" x14ac:dyDescent="0.25">
      <c r="O721" s="28"/>
    </row>
    <row r="722" spans="15:15" x14ac:dyDescent="0.25">
      <c r="O722" s="28"/>
    </row>
    <row r="723" spans="15:15" x14ac:dyDescent="0.25">
      <c r="O723" s="28"/>
    </row>
    <row r="724" spans="15:15" x14ac:dyDescent="0.25">
      <c r="O724" s="28"/>
    </row>
    <row r="725" spans="15:15" x14ac:dyDescent="0.25">
      <c r="O725" s="28"/>
    </row>
    <row r="726" spans="15:15" x14ac:dyDescent="0.25">
      <c r="O726" s="28"/>
    </row>
    <row r="727" spans="15:15" x14ac:dyDescent="0.25">
      <c r="O727" s="28"/>
    </row>
    <row r="728" spans="15:15" x14ac:dyDescent="0.25">
      <c r="O728" s="28"/>
    </row>
    <row r="729" spans="15:15" x14ac:dyDescent="0.25">
      <c r="O729" s="28"/>
    </row>
    <row r="730" spans="15:15" x14ac:dyDescent="0.25">
      <c r="O730" s="28"/>
    </row>
    <row r="731" spans="15:15" x14ac:dyDescent="0.25">
      <c r="O731" s="28"/>
    </row>
    <row r="732" spans="15:15" x14ac:dyDescent="0.25">
      <c r="O732" s="28"/>
    </row>
    <row r="733" spans="15:15" x14ac:dyDescent="0.25">
      <c r="O733" s="28"/>
    </row>
    <row r="734" spans="15:15" x14ac:dyDescent="0.25">
      <c r="O734" s="28"/>
    </row>
    <row r="735" spans="15:15" x14ac:dyDescent="0.25">
      <c r="O735" s="28"/>
    </row>
    <row r="736" spans="15:15" x14ac:dyDescent="0.25">
      <c r="O736" s="28"/>
    </row>
    <row r="737" spans="15:15" x14ac:dyDescent="0.25">
      <c r="O737" s="28"/>
    </row>
    <row r="738" spans="15:15" x14ac:dyDescent="0.25">
      <c r="O738" s="28"/>
    </row>
    <row r="739" spans="15:15" x14ac:dyDescent="0.25">
      <c r="O739" s="28"/>
    </row>
    <row r="740" spans="15:15" x14ac:dyDescent="0.25">
      <c r="O740" s="28"/>
    </row>
    <row r="741" spans="15:15" x14ac:dyDescent="0.25">
      <c r="O741" s="28"/>
    </row>
    <row r="742" spans="15:15" x14ac:dyDescent="0.25">
      <c r="O742" s="28"/>
    </row>
    <row r="743" spans="15:15" x14ac:dyDescent="0.25">
      <c r="O743" s="28"/>
    </row>
    <row r="744" spans="15:15" x14ac:dyDescent="0.25">
      <c r="O744" s="28"/>
    </row>
    <row r="745" spans="15:15" x14ac:dyDescent="0.25">
      <c r="O745" s="28"/>
    </row>
    <row r="746" spans="15:15" x14ac:dyDescent="0.25">
      <c r="O746" s="28"/>
    </row>
    <row r="747" spans="15:15" x14ac:dyDescent="0.25">
      <c r="O747" s="28"/>
    </row>
    <row r="748" spans="15:15" x14ac:dyDescent="0.25">
      <c r="O748" s="28"/>
    </row>
    <row r="749" spans="15:15" x14ac:dyDescent="0.25">
      <c r="O749" s="28"/>
    </row>
    <row r="750" spans="15:15" x14ac:dyDescent="0.25">
      <c r="O750" s="28"/>
    </row>
    <row r="751" spans="15:15" x14ac:dyDescent="0.25">
      <c r="O751" s="28"/>
    </row>
    <row r="752" spans="15:15" x14ac:dyDescent="0.25">
      <c r="O752" s="28"/>
    </row>
    <row r="753" spans="15:15" x14ac:dyDescent="0.25">
      <c r="O753" s="28"/>
    </row>
    <row r="754" spans="15:15" x14ac:dyDescent="0.25">
      <c r="O754" s="28"/>
    </row>
    <row r="755" spans="15:15" x14ac:dyDescent="0.25">
      <c r="O755" s="28"/>
    </row>
    <row r="756" spans="15:15" x14ac:dyDescent="0.25">
      <c r="O756" s="28"/>
    </row>
    <row r="757" spans="15:15" x14ac:dyDescent="0.25">
      <c r="O757" s="28"/>
    </row>
    <row r="758" spans="15:15" x14ac:dyDescent="0.25">
      <c r="O758" s="28"/>
    </row>
    <row r="759" spans="15:15" x14ac:dyDescent="0.25">
      <c r="O759" s="28"/>
    </row>
    <row r="760" spans="15:15" x14ac:dyDescent="0.25">
      <c r="O760" s="28"/>
    </row>
    <row r="761" spans="15:15" x14ac:dyDescent="0.25">
      <c r="O761" s="28"/>
    </row>
    <row r="762" spans="15:15" x14ac:dyDescent="0.25">
      <c r="O762" s="28"/>
    </row>
    <row r="763" spans="15:15" x14ac:dyDescent="0.25">
      <c r="O763" s="28"/>
    </row>
    <row r="764" spans="15:15" x14ac:dyDescent="0.25">
      <c r="O764" s="28"/>
    </row>
    <row r="765" spans="15:15" x14ac:dyDescent="0.25">
      <c r="O765" s="28"/>
    </row>
    <row r="766" spans="15:15" x14ac:dyDescent="0.25">
      <c r="O766" s="28"/>
    </row>
    <row r="767" spans="15:15" x14ac:dyDescent="0.25">
      <c r="O767" s="28"/>
    </row>
    <row r="768" spans="15:15" x14ac:dyDescent="0.25">
      <c r="O768" s="28"/>
    </row>
    <row r="769" spans="15:15" x14ac:dyDescent="0.25">
      <c r="O769" s="28"/>
    </row>
    <row r="770" spans="15:15" x14ac:dyDescent="0.25">
      <c r="O770" s="28"/>
    </row>
    <row r="771" spans="15:15" x14ac:dyDescent="0.25">
      <c r="O771" s="28"/>
    </row>
    <row r="772" spans="15:15" x14ac:dyDescent="0.25">
      <c r="O772" s="28"/>
    </row>
    <row r="773" spans="15:15" x14ac:dyDescent="0.25">
      <c r="O773" s="28"/>
    </row>
    <row r="774" spans="15:15" x14ac:dyDescent="0.25">
      <c r="O774" s="28"/>
    </row>
    <row r="775" spans="15:15" x14ac:dyDescent="0.25">
      <c r="O775" s="28"/>
    </row>
    <row r="776" spans="15:15" x14ac:dyDescent="0.25">
      <c r="O776" s="28"/>
    </row>
    <row r="777" spans="15:15" x14ac:dyDescent="0.25">
      <c r="O777" s="28"/>
    </row>
    <row r="778" spans="15:15" x14ac:dyDescent="0.25">
      <c r="O778" s="28"/>
    </row>
    <row r="779" spans="15:15" x14ac:dyDescent="0.25">
      <c r="O779" s="28"/>
    </row>
    <row r="780" spans="15:15" x14ac:dyDescent="0.25">
      <c r="O780" s="28"/>
    </row>
    <row r="781" spans="15:15" x14ac:dyDescent="0.25">
      <c r="O781" s="28"/>
    </row>
    <row r="782" spans="15:15" x14ac:dyDescent="0.25">
      <c r="O782" s="28"/>
    </row>
    <row r="783" spans="15:15" x14ac:dyDescent="0.25">
      <c r="O783" s="28"/>
    </row>
    <row r="784" spans="15:15" x14ac:dyDescent="0.25">
      <c r="O784" s="28"/>
    </row>
    <row r="785" spans="15:15" x14ac:dyDescent="0.25">
      <c r="O785" s="28"/>
    </row>
    <row r="786" spans="15:15" x14ac:dyDescent="0.25">
      <c r="O786" s="28"/>
    </row>
    <row r="787" spans="15:15" x14ac:dyDescent="0.25">
      <c r="O787" s="28"/>
    </row>
  </sheetData>
  <dataConsolidate/>
  <phoneticPr fontId="5" type="noConversion"/>
  <conditionalFormatting sqref="H2">
    <cfRule type="expression" dxfId="7" priority="6">
      <formula>#REF!="Заполни руками"</formula>
    </cfRule>
  </conditionalFormatting>
  <conditionalFormatting sqref="H1:H1048576">
    <cfRule type="cellIs" dxfId="6" priority="2" operator="lessThan">
      <formula>0</formula>
    </cfRule>
  </conditionalFormatting>
  <conditionalFormatting sqref="G1 G3:G1048576">
    <cfRule type="cellIs" dxfId="3" priority="1" operator="greaterThan">
      <formula>80%</formula>
    </cfRule>
  </conditionalFormatting>
  <dataValidations count="3">
    <dataValidation type="list" allowBlank="1" showInputMessage="1" sqref="E2" xr:uid="{00000000-0002-0000-0000-000000000000}">
      <formula1>products</formula1>
    </dataValidation>
    <dataValidation type="list" allowBlank="1" showInputMessage="1" showErrorMessage="1" sqref="B3:B211 E3 E5:E1048576" xr:uid="{00000000-0002-0000-0000-000001000000}">
      <formula1>INDIRECT(A3)</formula1>
    </dataValidation>
    <dataValidation type="list" errorStyle="warning" showInputMessage="1" showErrorMessage="1" promptTitle="error" prompt="Please select a value from the list" sqref="E4" xr:uid="{147C9954-8002-4590-8E4C-8CF8EEDEE4C1}">
      <formula1>INDIRECT(D4)</formula1>
    </dataValidation>
  </dataValidations>
  <pageMargins left="0.25" right="0.25" top="0.75" bottom="0.75" header="0.3" footer="0.3"/>
  <pageSetup paperSize="9" scale="41" fitToHeight="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manager_distr!$B$1:$F$1</xm:f>
          </x14:formula1>
          <xm:sqref>A3:A214</xm:sqref>
        </x14:dataValidation>
        <x14:dataValidation type="list" allowBlank="1" showInputMessage="1" showErrorMessage="1" xr:uid="{00000000-0002-0000-0000-000003000000}">
          <x14:formula1>
            <xm:f>products!$B$1:$D$1</xm:f>
          </x14:formula1>
          <xm:sqref>D3:D375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13"/>
  <dimension ref="A1:D558"/>
  <sheetViews>
    <sheetView workbookViewId="0">
      <selection activeCell="B24" sqref="B23:B24"/>
    </sheetView>
  </sheetViews>
  <sheetFormatPr defaultRowHeight="15" x14ac:dyDescent="0.25"/>
  <cols>
    <col min="1" max="1" width="8.6640625" style="30" customWidth="1"/>
    <col min="2" max="2" width="86.1640625" style="30" customWidth="1"/>
    <col min="3" max="3" width="48.5" style="30" customWidth="1"/>
    <col min="4" max="4" width="54" style="30" customWidth="1"/>
  </cols>
  <sheetData>
    <row r="1" spans="1:4" x14ac:dyDescent="0.25">
      <c r="A1" s="20"/>
      <c r="B1" s="20"/>
      <c r="C1" s="20"/>
      <c r="D1" s="20"/>
    </row>
    <row r="2" spans="1:4" ht="12.75" x14ac:dyDescent="0.2">
      <c r="A2" s="22"/>
      <c r="B2" s="35" t="s">
        <v>29</v>
      </c>
      <c r="C2" s="23"/>
      <c r="D2" s="35" t="s">
        <v>30</v>
      </c>
    </row>
    <row r="3" spans="1:4" x14ac:dyDescent="0.25">
      <c r="A3" s="34">
        <f>IF(ISNUMBER(SEARCH(PLAN!$E$2,B3)),MAX(A$2:$A2)+1,0)</f>
        <v>1</v>
      </c>
      <c r="B3" s="29" t="s">
        <v>18</v>
      </c>
      <c r="C3" s="28">
        <v>1</v>
      </c>
      <c r="D3" s="28" t="str">
        <f t="shared" ref="D3:D66" si="0">VLOOKUP(C3,A:B,2,0)</f>
        <v>Find N2 Flip</v>
      </c>
    </row>
    <row r="4" spans="1:4" x14ac:dyDescent="0.25">
      <c r="A4" s="34">
        <f>IF(ISNUMBER(SEARCH(PLAN!$E$2,B4)),MAX(A$2:$A3)+1,0)</f>
        <v>2</v>
      </c>
      <c r="B4" s="29" t="s">
        <v>19</v>
      </c>
      <c r="C4" s="30">
        <v>2</v>
      </c>
      <c r="D4" s="28" t="str">
        <f t="shared" si="0"/>
        <v>Reno 11F</v>
      </c>
    </row>
    <row r="5" spans="1:4" x14ac:dyDescent="0.25">
      <c r="A5" s="34">
        <f>IF(ISNUMBER(SEARCH(PLAN!$E$2,B5)),MAX(A$2:$A4)+1,0)</f>
        <v>3</v>
      </c>
      <c r="B5" s="29" t="s">
        <v>20</v>
      </c>
      <c r="C5" s="28">
        <v>3</v>
      </c>
      <c r="D5" s="28" t="str">
        <f t="shared" si="0"/>
        <v>N2 Flip</v>
      </c>
    </row>
    <row r="6" spans="1:4" x14ac:dyDescent="0.25">
      <c r="A6" s="34">
        <f>IF(ISNUMBER(SEARCH(PLAN!$E$2,B6)),MAX(A$2:$A5)+1,0)</f>
        <v>4</v>
      </c>
      <c r="B6" s="29" t="s">
        <v>21</v>
      </c>
      <c r="C6" s="30">
        <v>4</v>
      </c>
      <c r="D6" s="28" t="str">
        <f t="shared" si="0"/>
        <v>Reno GP</v>
      </c>
    </row>
    <row r="7" spans="1:4" x14ac:dyDescent="0.25">
      <c r="A7" s="34">
        <f>IF(ISNUMBER(SEARCH(PLAN!$E$2,B7)),MAX(A$2:$A6)+1,0)</f>
        <v>5</v>
      </c>
      <c r="B7" s="29" t="s">
        <v>22</v>
      </c>
      <c r="C7" s="28">
        <v>5</v>
      </c>
      <c r="D7" s="28" t="str">
        <f t="shared" si="0"/>
        <v>Reno A</v>
      </c>
    </row>
    <row r="8" spans="1:4" x14ac:dyDescent="0.25">
      <c r="A8" s="34">
        <f>IF(ISNUMBER(SEARCH(PLAN!$E$2,B8)),MAX(A$2:$A7)+1,0)</f>
        <v>6</v>
      </c>
      <c r="B8" s="29" t="s">
        <v>23</v>
      </c>
      <c r="C8" s="30">
        <v>6</v>
      </c>
      <c r="D8" s="28" t="str">
        <f t="shared" si="0"/>
        <v>Reno 18</v>
      </c>
    </row>
    <row r="9" spans="1:4" x14ac:dyDescent="0.25">
      <c r="A9" s="34">
        <f>IF(ISNUMBER(SEARCH(PLAN!$E$2,B9)),MAX(A$2:$A8)+1,0)</f>
        <v>7</v>
      </c>
      <c r="B9" s="29" t="s">
        <v>28</v>
      </c>
      <c r="C9" s="28">
        <v>7</v>
      </c>
      <c r="D9" s="28" t="str">
        <f t="shared" si="0"/>
        <v>17A</v>
      </c>
    </row>
    <row r="10" spans="1:4" x14ac:dyDescent="0.25">
      <c r="A10" s="34">
        <f>IF(ISNUMBER(SEARCH(PLAN!$E$2,B10)),MAX(A$2:$A9)+1,0)</f>
        <v>8</v>
      </c>
      <c r="B10" s="29" t="s">
        <v>27</v>
      </c>
      <c r="C10" s="30">
        <v>8</v>
      </c>
      <c r="D10" s="28" t="str">
        <f t="shared" si="0"/>
        <v>Chrono DIG</v>
      </c>
    </row>
    <row r="11" spans="1:4" x14ac:dyDescent="0.25">
      <c r="A11" s="34">
        <f>IF(ISNUMBER(SEARCH(PLAN!$E$2,B11)),MAX(A$2:$A10)+1,0)</f>
        <v>9</v>
      </c>
      <c r="B11" s="29" t="s">
        <v>25</v>
      </c>
      <c r="C11" s="28">
        <v>9</v>
      </c>
      <c r="D11" s="28" t="str">
        <f t="shared" si="0"/>
        <v>Chrono AF14</v>
      </c>
    </row>
    <row r="12" spans="1:4" x14ac:dyDescent="0.25">
      <c r="A12" s="34">
        <f>IF(ISNUMBER(SEARCH(PLAN!$E$2,B12)),MAX(A$2:$A11)+1,0)</f>
        <v>10</v>
      </c>
      <c r="B12" s="29" t="s">
        <v>26</v>
      </c>
      <c r="C12" s="30">
        <v>10</v>
      </c>
      <c r="D12" s="28" t="str">
        <f t="shared" si="0"/>
        <v>CH ST</v>
      </c>
    </row>
    <row r="13" spans="1:4" x14ac:dyDescent="0.25">
      <c r="A13" s="34">
        <f>IF(ISNUMBER(SEARCH(PLAN!$E$2,B13)),MAX(A$2:$A12)+1,0)</f>
        <v>0</v>
      </c>
      <c r="B13" s="29"/>
      <c r="C13" s="28">
        <v>11</v>
      </c>
      <c r="D13" s="28" t="e">
        <f t="shared" si="0"/>
        <v>#N/A</v>
      </c>
    </row>
    <row r="14" spans="1:4" x14ac:dyDescent="0.25">
      <c r="A14" s="34">
        <f>IF(ISNUMBER(SEARCH(PLAN!$E$2,B14)),MAX(A$2:$A13)+1,0)</f>
        <v>0</v>
      </c>
      <c r="B14" s="29"/>
      <c r="C14" s="30">
        <v>12</v>
      </c>
      <c r="D14" s="28" t="e">
        <f t="shared" si="0"/>
        <v>#N/A</v>
      </c>
    </row>
    <row r="15" spans="1:4" x14ac:dyDescent="0.25">
      <c r="A15" s="34">
        <f>IF(ISNUMBER(SEARCH(PLAN!$E$2,B15)),MAX(A$2:$A14)+1,0)</f>
        <v>0</v>
      </c>
      <c r="B15" s="29"/>
      <c r="C15" s="28">
        <v>13</v>
      </c>
      <c r="D15" s="28" t="e">
        <f t="shared" si="0"/>
        <v>#N/A</v>
      </c>
    </row>
    <row r="16" spans="1:4" x14ac:dyDescent="0.25">
      <c r="A16" s="34">
        <f>IF(ISNUMBER(SEARCH(PLAN!$E$2,B16)),MAX(A$2:$A15)+1,0)</f>
        <v>0</v>
      </c>
      <c r="B16" s="29"/>
      <c r="C16" s="30">
        <v>14</v>
      </c>
      <c r="D16" s="28" t="e">
        <f t="shared" si="0"/>
        <v>#N/A</v>
      </c>
    </row>
    <row r="17" spans="1:4" x14ac:dyDescent="0.25">
      <c r="A17" s="34">
        <f>IF(ISNUMBER(SEARCH(PLAN!$E$2,B17)),MAX(A$2:$A16)+1,0)</f>
        <v>0</v>
      </c>
      <c r="B17" s="29"/>
      <c r="C17" s="28">
        <v>15</v>
      </c>
      <c r="D17" s="28" t="e">
        <f t="shared" si="0"/>
        <v>#N/A</v>
      </c>
    </row>
    <row r="18" spans="1:4" x14ac:dyDescent="0.25">
      <c r="A18" s="34">
        <f>IF(ISNUMBER(SEARCH(PLAN!$E$2,B18)),MAX(A$2:$A17)+1,0)</f>
        <v>0</v>
      </c>
      <c r="B18" s="29"/>
      <c r="C18" s="30">
        <v>16</v>
      </c>
      <c r="D18" s="28" t="e">
        <f t="shared" si="0"/>
        <v>#N/A</v>
      </c>
    </row>
    <row r="19" spans="1:4" x14ac:dyDescent="0.25">
      <c r="A19" s="34">
        <f>IF(ISNUMBER(SEARCH(PLAN!$E$2,B19)),MAX(A$2:$A18)+1,0)</f>
        <v>0</v>
      </c>
      <c r="B19" s="29"/>
      <c r="C19" s="28">
        <v>17</v>
      </c>
      <c r="D19" s="28" t="e">
        <f t="shared" si="0"/>
        <v>#N/A</v>
      </c>
    </row>
    <row r="20" spans="1:4" x14ac:dyDescent="0.25">
      <c r="A20" s="34">
        <f>IF(ISNUMBER(SEARCH(PLAN!$E$2,B20)),MAX(A$2:$A19)+1,0)</f>
        <v>0</v>
      </c>
      <c r="B20" s="29"/>
      <c r="C20" s="30">
        <v>18</v>
      </c>
      <c r="D20" s="28" t="e">
        <f t="shared" si="0"/>
        <v>#N/A</v>
      </c>
    </row>
    <row r="21" spans="1:4" x14ac:dyDescent="0.25">
      <c r="A21" s="34">
        <f>IF(ISNUMBER(SEARCH(PLAN!$E$2,B21)),MAX(A$2:$A20)+1,0)</f>
        <v>0</v>
      </c>
      <c r="B21" s="29"/>
      <c r="C21" s="28">
        <v>19</v>
      </c>
      <c r="D21" s="28" t="e">
        <f t="shared" si="0"/>
        <v>#N/A</v>
      </c>
    </row>
    <row r="22" spans="1:4" x14ac:dyDescent="0.25">
      <c r="A22" s="34">
        <f>IF(ISNUMBER(SEARCH(PLAN!$E$2,B22)),MAX(A$2:$A21)+1,0)</f>
        <v>0</v>
      </c>
      <c r="B22" s="29"/>
      <c r="C22" s="30">
        <v>20</v>
      </c>
      <c r="D22" s="28" t="e">
        <f t="shared" si="0"/>
        <v>#N/A</v>
      </c>
    </row>
    <row r="23" spans="1:4" x14ac:dyDescent="0.25">
      <c r="A23" s="34">
        <f>IF(ISNUMBER(SEARCH(PLAN!$E$2,B23)),MAX(A$2:$A22)+1,0)</f>
        <v>0</v>
      </c>
      <c r="B23" s="29"/>
      <c r="C23" s="28">
        <v>21</v>
      </c>
      <c r="D23" s="28" t="e">
        <f t="shared" si="0"/>
        <v>#N/A</v>
      </c>
    </row>
    <row r="24" spans="1:4" x14ac:dyDescent="0.25">
      <c r="A24" s="34">
        <f>IF(ISNUMBER(SEARCH(PLAN!$E$2,B24)),MAX(A$2:$A23)+1,0)</f>
        <v>0</v>
      </c>
      <c r="B24" s="29"/>
      <c r="C24" s="30">
        <v>22</v>
      </c>
      <c r="D24" s="28" t="e">
        <f t="shared" si="0"/>
        <v>#N/A</v>
      </c>
    </row>
    <row r="25" spans="1:4" x14ac:dyDescent="0.25">
      <c r="A25" s="34">
        <f>IF(ISNUMBER(SEARCH(PLAN!$E$2,B25)),MAX(A$2:$A24)+1,0)</f>
        <v>0</v>
      </c>
      <c r="B25" s="29"/>
      <c r="C25" s="28">
        <v>23</v>
      </c>
      <c r="D25" s="28" t="e">
        <f t="shared" si="0"/>
        <v>#N/A</v>
      </c>
    </row>
    <row r="26" spans="1:4" x14ac:dyDescent="0.25">
      <c r="A26" s="34">
        <f>IF(ISNUMBER(SEARCH(PLAN!$E$2,B26)),MAX(A$2:$A25)+1,0)</f>
        <v>0</v>
      </c>
      <c r="B26" s="29"/>
      <c r="C26" s="30">
        <v>24</v>
      </c>
      <c r="D26" s="28" t="e">
        <f t="shared" si="0"/>
        <v>#N/A</v>
      </c>
    </row>
    <row r="27" spans="1:4" x14ac:dyDescent="0.25">
      <c r="A27" s="34">
        <f>IF(ISNUMBER(SEARCH(PLAN!$E$2,B27)),MAX(A$2:$A26)+1,0)</f>
        <v>0</v>
      </c>
      <c r="B27" s="29"/>
      <c r="C27" s="28">
        <v>25</v>
      </c>
      <c r="D27" s="28" t="e">
        <f t="shared" si="0"/>
        <v>#N/A</v>
      </c>
    </row>
    <row r="28" spans="1:4" x14ac:dyDescent="0.25">
      <c r="A28" s="34">
        <f>IF(ISNUMBER(SEARCH(PLAN!$E$2,B28)),MAX(A$2:$A27)+1,0)</f>
        <v>0</v>
      </c>
      <c r="B28" s="29"/>
      <c r="C28" s="30">
        <v>26</v>
      </c>
      <c r="D28" s="28" t="e">
        <f t="shared" si="0"/>
        <v>#N/A</v>
      </c>
    </row>
    <row r="29" spans="1:4" x14ac:dyDescent="0.25">
      <c r="A29" s="34">
        <f>IF(ISNUMBER(SEARCH(PLAN!$E$2,B29)),MAX(A$2:$A28)+1,0)</f>
        <v>0</v>
      </c>
      <c r="B29" s="29"/>
      <c r="C29" s="28">
        <v>27</v>
      </c>
      <c r="D29" s="28" t="e">
        <f t="shared" si="0"/>
        <v>#N/A</v>
      </c>
    </row>
    <row r="30" spans="1:4" x14ac:dyDescent="0.25">
      <c r="A30" s="34">
        <f>IF(ISNUMBER(SEARCH(PLAN!$E$2,B30)),MAX(A$2:$A29)+1,0)</f>
        <v>0</v>
      </c>
      <c r="B30" s="29"/>
      <c r="C30" s="30">
        <v>28</v>
      </c>
      <c r="D30" s="28" t="e">
        <f t="shared" si="0"/>
        <v>#N/A</v>
      </c>
    </row>
    <row r="31" spans="1:4" x14ac:dyDescent="0.25">
      <c r="A31" s="34">
        <f>IF(ISNUMBER(SEARCH(PLAN!$E$2,B31)),MAX(A$2:$A30)+1,0)</f>
        <v>0</v>
      </c>
      <c r="B31" s="29"/>
      <c r="C31" s="28">
        <v>29</v>
      </c>
      <c r="D31" s="28" t="e">
        <f t="shared" si="0"/>
        <v>#N/A</v>
      </c>
    </row>
    <row r="32" spans="1:4" x14ac:dyDescent="0.25">
      <c r="A32" s="34">
        <f>IF(ISNUMBER(SEARCH(PLAN!$E$2,B32)),MAX(A$2:$A31)+1,0)</f>
        <v>0</v>
      </c>
      <c r="B32" s="29"/>
      <c r="C32" s="30">
        <v>30</v>
      </c>
      <c r="D32" s="28" t="e">
        <f t="shared" si="0"/>
        <v>#N/A</v>
      </c>
    </row>
    <row r="33" spans="1:4" x14ac:dyDescent="0.25">
      <c r="A33" s="34">
        <f>IF(ISNUMBER(SEARCH(PLAN!$E$2,B33)),MAX(A$2:$A32)+1,0)</f>
        <v>0</v>
      </c>
      <c r="B33" s="29"/>
      <c r="C33" s="28">
        <v>31</v>
      </c>
      <c r="D33" s="28" t="e">
        <f t="shared" si="0"/>
        <v>#N/A</v>
      </c>
    </row>
    <row r="34" spans="1:4" x14ac:dyDescent="0.25">
      <c r="A34" s="34">
        <f>IF(ISNUMBER(SEARCH(PLAN!$E$2,B34)),MAX(A$2:$A33)+1,0)</f>
        <v>0</v>
      </c>
      <c r="B34" s="29"/>
      <c r="C34" s="30">
        <v>32</v>
      </c>
      <c r="D34" s="28" t="e">
        <f t="shared" si="0"/>
        <v>#N/A</v>
      </c>
    </row>
    <row r="35" spans="1:4" x14ac:dyDescent="0.25">
      <c r="A35" s="34">
        <f>IF(ISNUMBER(SEARCH(PLAN!$E$2,B35)),MAX(A$2:$A34)+1,0)</f>
        <v>0</v>
      </c>
      <c r="B35" s="29"/>
      <c r="C35" s="28">
        <v>33</v>
      </c>
      <c r="D35" s="28" t="e">
        <f t="shared" si="0"/>
        <v>#N/A</v>
      </c>
    </row>
    <row r="36" spans="1:4" x14ac:dyDescent="0.25">
      <c r="A36" s="34">
        <f>IF(ISNUMBER(SEARCH(PLAN!$E$2,B36)),MAX(A$2:$A35)+1,0)</f>
        <v>0</v>
      </c>
      <c r="B36" s="29"/>
      <c r="C36" s="30">
        <v>34</v>
      </c>
      <c r="D36" s="28" t="e">
        <f t="shared" si="0"/>
        <v>#N/A</v>
      </c>
    </row>
    <row r="37" spans="1:4" x14ac:dyDescent="0.25">
      <c r="A37" s="34">
        <f>IF(ISNUMBER(SEARCH(PLAN!$E$2,B37)),MAX(A$2:$A36)+1,0)</f>
        <v>0</v>
      </c>
      <c r="B37" s="29"/>
      <c r="C37" s="28">
        <v>35</v>
      </c>
      <c r="D37" s="28" t="e">
        <f t="shared" si="0"/>
        <v>#N/A</v>
      </c>
    </row>
    <row r="38" spans="1:4" x14ac:dyDescent="0.25">
      <c r="A38" s="34">
        <f>IF(ISNUMBER(SEARCH(PLAN!$E$2,B38)),MAX(A$2:$A37)+1,0)</f>
        <v>0</v>
      </c>
      <c r="B38" s="29"/>
      <c r="C38" s="30">
        <v>36</v>
      </c>
      <c r="D38" s="28" t="e">
        <f t="shared" si="0"/>
        <v>#N/A</v>
      </c>
    </row>
    <row r="39" spans="1:4" x14ac:dyDescent="0.25">
      <c r="A39" s="34">
        <f>IF(ISNUMBER(SEARCH(PLAN!$E$2,B39)),MAX(A$2:$A38)+1,0)</f>
        <v>0</v>
      </c>
      <c r="B39" s="29"/>
      <c r="C39" s="28">
        <v>37</v>
      </c>
      <c r="D39" s="28" t="e">
        <f t="shared" si="0"/>
        <v>#N/A</v>
      </c>
    </row>
    <row r="40" spans="1:4" x14ac:dyDescent="0.25">
      <c r="A40" s="34">
        <f>IF(ISNUMBER(SEARCH(PLAN!$E$2,B40)),MAX(A$2:$A39)+1,0)</f>
        <v>0</v>
      </c>
      <c r="B40" s="29"/>
      <c r="C40" s="30">
        <v>38</v>
      </c>
      <c r="D40" s="28" t="e">
        <f t="shared" si="0"/>
        <v>#N/A</v>
      </c>
    </row>
    <row r="41" spans="1:4" x14ac:dyDescent="0.25">
      <c r="A41" s="34">
        <f>IF(ISNUMBER(SEARCH(PLAN!$E$2,B41)),MAX(A$2:$A40)+1,0)</f>
        <v>0</v>
      </c>
      <c r="B41" s="29"/>
      <c r="C41" s="28">
        <v>39</v>
      </c>
      <c r="D41" s="28" t="e">
        <f t="shared" si="0"/>
        <v>#N/A</v>
      </c>
    </row>
    <row r="42" spans="1:4" x14ac:dyDescent="0.25">
      <c r="A42" s="34">
        <f>IF(ISNUMBER(SEARCH(PLAN!$E$2,B42)),MAX(A$2:$A41)+1,0)</f>
        <v>0</v>
      </c>
      <c r="B42" s="29"/>
      <c r="C42" s="30">
        <v>40</v>
      </c>
      <c r="D42" s="28" t="e">
        <f t="shared" si="0"/>
        <v>#N/A</v>
      </c>
    </row>
    <row r="43" spans="1:4" x14ac:dyDescent="0.25">
      <c r="A43" s="34">
        <f>IF(ISNUMBER(SEARCH(PLAN!$E$2,B43)),MAX(A$2:$A42)+1,0)</f>
        <v>0</v>
      </c>
      <c r="B43" s="29"/>
      <c r="C43" s="28">
        <v>41</v>
      </c>
      <c r="D43" s="28" t="e">
        <f t="shared" si="0"/>
        <v>#N/A</v>
      </c>
    </row>
    <row r="44" spans="1:4" x14ac:dyDescent="0.25">
      <c r="A44" s="34">
        <f>IF(ISNUMBER(SEARCH(PLAN!$E$2,B44)),MAX(A$2:$A43)+1,0)</f>
        <v>0</v>
      </c>
      <c r="B44" s="29"/>
      <c r="C44" s="30">
        <v>42</v>
      </c>
      <c r="D44" s="28" t="e">
        <f t="shared" si="0"/>
        <v>#N/A</v>
      </c>
    </row>
    <row r="45" spans="1:4" x14ac:dyDescent="0.25">
      <c r="A45" s="34">
        <f>IF(ISNUMBER(SEARCH(PLAN!$E$2,B45)),MAX(A$2:$A44)+1,0)</f>
        <v>0</v>
      </c>
      <c r="B45" s="29"/>
      <c r="C45" s="28">
        <v>43</v>
      </c>
      <c r="D45" s="28" t="e">
        <f t="shared" si="0"/>
        <v>#N/A</v>
      </c>
    </row>
    <row r="46" spans="1:4" x14ac:dyDescent="0.25">
      <c r="A46" s="34">
        <f>IF(ISNUMBER(SEARCH(PLAN!$E$2,B46)),MAX(A$2:$A45)+1,0)</f>
        <v>0</v>
      </c>
      <c r="B46" s="29"/>
      <c r="C46" s="30">
        <v>44</v>
      </c>
      <c r="D46" s="28" t="e">
        <f t="shared" si="0"/>
        <v>#N/A</v>
      </c>
    </row>
    <row r="47" spans="1:4" x14ac:dyDescent="0.25">
      <c r="A47" s="34">
        <f>IF(ISNUMBER(SEARCH(PLAN!$E$2,B47)),MAX(A$2:$A46)+1,0)</f>
        <v>0</v>
      </c>
      <c r="B47" s="29"/>
      <c r="C47" s="28">
        <v>45</v>
      </c>
      <c r="D47" s="28" t="e">
        <f t="shared" si="0"/>
        <v>#N/A</v>
      </c>
    </row>
    <row r="48" spans="1:4" x14ac:dyDescent="0.25">
      <c r="A48" s="34">
        <f>IF(ISNUMBER(SEARCH(PLAN!$E$2,B48)),MAX(A$2:$A47)+1,0)</f>
        <v>0</v>
      </c>
      <c r="B48" s="29"/>
      <c r="C48" s="30">
        <v>46</v>
      </c>
      <c r="D48" s="28" t="e">
        <f t="shared" si="0"/>
        <v>#N/A</v>
      </c>
    </row>
    <row r="49" spans="1:4" x14ac:dyDescent="0.25">
      <c r="A49" s="34">
        <f>IF(ISNUMBER(SEARCH(PLAN!$E$2,B49)),MAX(A$2:$A48)+1,0)</f>
        <v>0</v>
      </c>
      <c r="B49" s="29"/>
      <c r="C49" s="28">
        <v>47</v>
      </c>
      <c r="D49" s="28" t="e">
        <f t="shared" si="0"/>
        <v>#N/A</v>
      </c>
    </row>
    <row r="50" spans="1:4" x14ac:dyDescent="0.25">
      <c r="A50" s="34">
        <f>IF(ISNUMBER(SEARCH(PLAN!$E$2,B50)),MAX(A$2:$A49)+1,0)</f>
        <v>0</v>
      </c>
      <c r="B50" s="29"/>
      <c r="C50" s="30">
        <v>48</v>
      </c>
      <c r="D50" s="28" t="e">
        <f t="shared" si="0"/>
        <v>#N/A</v>
      </c>
    </row>
    <row r="51" spans="1:4" x14ac:dyDescent="0.25">
      <c r="A51" s="34">
        <f>IF(ISNUMBER(SEARCH(PLAN!$E$2,B51)),MAX(A$2:$A50)+1,0)</f>
        <v>0</v>
      </c>
      <c r="B51" s="29"/>
      <c r="C51" s="28">
        <v>49</v>
      </c>
      <c r="D51" s="28" t="e">
        <f t="shared" si="0"/>
        <v>#N/A</v>
      </c>
    </row>
    <row r="52" spans="1:4" x14ac:dyDescent="0.25">
      <c r="A52" s="34">
        <f>IF(ISNUMBER(SEARCH(PLAN!$E$2,B52)),MAX(A$2:$A51)+1,0)</f>
        <v>0</v>
      </c>
      <c r="B52" s="29"/>
      <c r="C52" s="30">
        <v>50</v>
      </c>
      <c r="D52" s="28" t="e">
        <f t="shared" si="0"/>
        <v>#N/A</v>
      </c>
    </row>
    <row r="53" spans="1:4" x14ac:dyDescent="0.25">
      <c r="A53" s="34">
        <f>IF(ISNUMBER(SEARCH(PLAN!$E$2,B53)),MAX(A$2:$A52)+1,0)</f>
        <v>0</v>
      </c>
      <c r="B53" s="29"/>
      <c r="C53" s="28">
        <v>51</v>
      </c>
      <c r="D53" s="28" t="e">
        <f t="shared" si="0"/>
        <v>#N/A</v>
      </c>
    </row>
    <row r="54" spans="1:4" x14ac:dyDescent="0.25">
      <c r="A54" s="34">
        <f>IF(ISNUMBER(SEARCH(PLAN!$E$2,B54)),MAX(A$2:$A53)+1,0)</f>
        <v>0</v>
      </c>
      <c r="B54" s="29"/>
      <c r="C54" s="30">
        <v>52</v>
      </c>
      <c r="D54" s="28" t="e">
        <f t="shared" si="0"/>
        <v>#N/A</v>
      </c>
    </row>
    <row r="55" spans="1:4" x14ac:dyDescent="0.25">
      <c r="A55" s="34">
        <f>IF(ISNUMBER(SEARCH(PLAN!$E$2,B55)),MAX(A$2:$A54)+1,0)</f>
        <v>0</v>
      </c>
      <c r="B55" s="29"/>
      <c r="C55" s="28">
        <v>53</v>
      </c>
      <c r="D55" s="28" t="e">
        <f t="shared" si="0"/>
        <v>#N/A</v>
      </c>
    </row>
    <row r="56" spans="1:4" x14ac:dyDescent="0.25">
      <c r="A56" s="34">
        <f>IF(ISNUMBER(SEARCH(PLAN!$E$2,B56)),MAX(A$2:$A55)+1,0)</f>
        <v>0</v>
      </c>
      <c r="B56" s="29"/>
      <c r="C56" s="30">
        <v>54</v>
      </c>
      <c r="D56" s="28" t="e">
        <f t="shared" si="0"/>
        <v>#N/A</v>
      </c>
    </row>
    <row r="57" spans="1:4" x14ac:dyDescent="0.25">
      <c r="A57" s="34">
        <f>IF(ISNUMBER(SEARCH(PLAN!$E$2,B57)),MAX(A$2:$A56)+1,0)</f>
        <v>0</v>
      </c>
      <c r="B57" s="29"/>
      <c r="C57" s="28">
        <v>55</v>
      </c>
      <c r="D57" s="28" t="e">
        <f t="shared" si="0"/>
        <v>#N/A</v>
      </c>
    </row>
    <row r="58" spans="1:4" x14ac:dyDescent="0.25">
      <c r="A58" s="34">
        <f>IF(ISNUMBER(SEARCH(PLAN!$E$2,B58)),MAX(A$2:$A57)+1,0)</f>
        <v>0</v>
      </c>
      <c r="B58" s="29"/>
      <c r="C58" s="30">
        <v>56</v>
      </c>
      <c r="D58" s="28" t="e">
        <f t="shared" si="0"/>
        <v>#N/A</v>
      </c>
    </row>
    <row r="59" spans="1:4" x14ac:dyDescent="0.25">
      <c r="A59" s="34">
        <f>IF(ISNUMBER(SEARCH(PLAN!$E$2,B59)),MAX(A$2:$A58)+1,0)</f>
        <v>0</v>
      </c>
      <c r="B59" s="29"/>
      <c r="C59" s="28">
        <v>57</v>
      </c>
      <c r="D59" s="28" t="e">
        <f t="shared" si="0"/>
        <v>#N/A</v>
      </c>
    </row>
    <row r="60" spans="1:4" x14ac:dyDescent="0.25">
      <c r="A60" s="34">
        <f>IF(ISNUMBER(SEARCH(PLAN!$E$2,B60)),MAX(A$2:$A59)+1,0)</f>
        <v>0</v>
      </c>
      <c r="B60" s="29"/>
      <c r="C60" s="30">
        <v>58</v>
      </c>
      <c r="D60" s="28" t="e">
        <f t="shared" si="0"/>
        <v>#N/A</v>
      </c>
    </row>
    <row r="61" spans="1:4" x14ac:dyDescent="0.25">
      <c r="A61" s="34">
        <f>IF(ISNUMBER(SEARCH(PLAN!$E$2,B61)),MAX(A$2:$A60)+1,0)</f>
        <v>0</v>
      </c>
      <c r="B61" s="29"/>
      <c r="C61" s="28">
        <v>59</v>
      </c>
      <c r="D61" s="28" t="e">
        <f t="shared" si="0"/>
        <v>#N/A</v>
      </c>
    </row>
    <row r="62" spans="1:4" x14ac:dyDescent="0.25">
      <c r="A62" s="34">
        <f>IF(ISNUMBER(SEARCH(PLAN!$E$2,B62)),MAX(A$2:$A61)+1,0)</f>
        <v>0</v>
      </c>
      <c r="B62" s="29"/>
      <c r="C62" s="30">
        <v>60</v>
      </c>
      <c r="D62" s="28" t="e">
        <f t="shared" si="0"/>
        <v>#N/A</v>
      </c>
    </row>
    <row r="63" spans="1:4" x14ac:dyDescent="0.25">
      <c r="A63" s="34">
        <f>IF(ISNUMBER(SEARCH(PLAN!$E$2,B63)),MAX(A$2:$A62)+1,0)</f>
        <v>0</v>
      </c>
      <c r="B63" s="29"/>
      <c r="C63" s="28">
        <v>61</v>
      </c>
      <c r="D63" s="28" t="e">
        <f t="shared" si="0"/>
        <v>#N/A</v>
      </c>
    </row>
    <row r="64" spans="1:4" x14ac:dyDescent="0.25">
      <c r="A64" s="34">
        <f>IF(ISNUMBER(SEARCH(PLAN!$E$2,B64)),MAX(A$2:$A63)+1,0)</f>
        <v>0</v>
      </c>
      <c r="B64" s="29"/>
      <c r="C64" s="30">
        <v>62</v>
      </c>
      <c r="D64" s="28" t="e">
        <f t="shared" si="0"/>
        <v>#N/A</v>
      </c>
    </row>
    <row r="65" spans="1:4" x14ac:dyDescent="0.25">
      <c r="A65" s="34">
        <f>IF(ISNUMBER(SEARCH(PLAN!$E$2,B65)),MAX(A$2:$A64)+1,0)</f>
        <v>0</v>
      </c>
      <c r="B65" s="29"/>
      <c r="C65" s="28">
        <v>63</v>
      </c>
      <c r="D65" s="28" t="e">
        <f t="shared" si="0"/>
        <v>#N/A</v>
      </c>
    </row>
    <row r="66" spans="1:4" x14ac:dyDescent="0.25">
      <c r="A66" s="34">
        <f>IF(ISNUMBER(SEARCH(PLAN!$E$2,B66)),MAX(A$2:$A65)+1,0)</f>
        <v>0</v>
      </c>
      <c r="B66" s="29"/>
      <c r="C66" s="30">
        <v>64</v>
      </c>
      <c r="D66" s="28" t="e">
        <f t="shared" si="0"/>
        <v>#N/A</v>
      </c>
    </row>
    <row r="67" spans="1:4" x14ac:dyDescent="0.25">
      <c r="A67" s="34">
        <f>IF(ISNUMBER(SEARCH(PLAN!$E$2,B67)),MAX(A$2:$A66)+1,0)</f>
        <v>0</v>
      </c>
      <c r="B67" s="29"/>
      <c r="C67" s="28">
        <v>65</v>
      </c>
      <c r="D67" s="28" t="e">
        <f t="shared" ref="D67:D130" si="1">VLOOKUP(C67,A:B,2,0)</f>
        <v>#N/A</v>
      </c>
    </row>
    <row r="68" spans="1:4" x14ac:dyDescent="0.25">
      <c r="A68" s="34">
        <f>IF(ISNUMBER(SEARCH(PLAN!$E$2,B68)),MAX(A$2:$A67)+1,0)</f>
        <v>0</v>
      </c>
      <c r="B68" s="29"/>
      <c r="C68" s="30">
        <v>66</v>
      </c>
      <c r="D68" s="28" t="e">
        <f t="shared" si="1"/>
        <v>#N/A</v>
      </c>
    </row>
    <row r="69" spans="1:4" x14ac:dyDescent="0.25">
      <c r="A69" s="34">
        <f>IF(ISNUMBER(SEARCH(PLAN!$E$2,B69)),MAX(A$2:$A68)+1,0)</f>
        <v>0</v>
      </c>
      <c r="B69" s="29"/>
      <c r="C69" s="28">
        <v>67</v>
      </c>
      <c r="D69" s="28" t="e">
        <f t="shared" si="1"/>
        <v>#N/A</v>
      </c>
    </row>
    <row r="70" spans="1:4" x14ac:dyDescent="0.25">
      <c r="A70" s="34">
        <f>IF(ISNUMBER(SEARCH(PLAN!$E$2,B70)),MAX(A$2:$A69)+1,0)</f>
        <v>0</v>
      </c>
      <c r="B70" s="29"/>
      <c r="C70" s="30">
        <v>68</v>
      </c>
      <c r="D70" s="28" t="e">
        <f t="shared" si="1"/>
        <v>#N/A</v>
      </c>
    </row>
    <row r="71" spans="1:4" x14ac:dyDescent="0.25">
      <c r="A71" s="34">
        <f>IF(ISNUMBER(SEARCH(PLAN!$E$2,B71)),MAX(A$2:$A70)+1,0)</f>
        <v>0</v>
      </c>
      <c r="B71" s="29"/>
      <c r="C71" s="28">
        <v>69</v>
      </c>
      <c r="D71" s="28" t="e">
        <f t="shared" si="1"/>
        <v>#N/A</v>
      </c>
    </row>
    <row r="72" spans="1:4" x14ac:dyDescent="0.25">
      <c r="A72" s="34">
        <f>IF(ISNUMBER(SEARCH(PLAN!$E$2,B72)),MAX(A$2:$A71)+1,0)</f>
        <v>0</v>
      </c>
      <c r="B72" s="29"/>
      <c r="C72" s="30">
        <v>70</v>
      </c>
      <c r="D72" s="28" t="e">
        <f t="shared" si="1"/>
        <v>#N/A</v>
      </c>
    </row>
    <row r="73" spans="1:4" x14ac:dyDescent="0.25">
      <c r="A73" s="34">
        <f>IF(ISNUMBER(SEARCH(PLAN!$E$2,B73)),MAX(A$2:$A72)+1,0)</f>
        <v>0</v>
      </c>
      <c r="B73" s="29"/>
      <c r="C73" s="28">
        <v>71</v>
      </c>
      <c r="D73" s="28" t="e">
        <f t="shared" si="1"/>
        <v>#N/A</v>
      </c>
    </row>
    <row r="74" spans="1:4" x14ac:dyDescent="0.25">
      <c r="A74" s="34">
        <f>IF(ISNUMBER(SEARCH(PLAN!$E$2,B74)),MAX(A$2:$A73)+1,0)</f>
        <v>0</v>
      </c>
      <c r="B74" s="29"/>
      <c r="C74" s="30">
        <v>72</v>
      </c>
      <c r="D74" s="28" t="e">
        <f t="shared" si="1"/>
        <v>#N/A</v>
      </c>
    </row>
    <row r="75" spans="1:4" x14ac:dyDescent="0.25">
      <c r="A75" s="34">
        <f>IF(ISNUMBER(SEARCH(PLAN!$E$2,B75)),MAX(A$2:$A74)+1,0)</f>
        <v>0</v>
      </c>
      <c r="B75" s="29"/>
      <c r="C75" s="28">
        <v>73</v>
      </c>
      <c r="D75" s="28" t="e">
        <f t="shared" si="1"/>
        <v>#N/A</v>
      </c>
    </row>
    <row r="76" spans="1:4" x14ac:dyDescent="0.25">
      <c r="A76" s="34">
        <f>IF(ISNUMBER(SEARCH(PLAN!$E$2,B76)),MAX(A$2:$A75)+1,0)</f>
        <v>0</v>
      </c>
      <c r="B76" s="29"/>
      <c r="C76" s="30">
        <v>74</v>
      </c>
      <c r="D76" s="28" t="e">
        <f t="shared" si="1"/>
        <v>#N/A</v>
      </c>
    </row>
    <row r="77" spans="1:4" x14ac:dyDescent="0.25">
      <c r="A77" s="34">
        <f>IF(ISNUMBER(SEARCH(PLAN!$E$2,B77)),MAX(A$2:$A76)+1,0)</f>
        <v>0</v>
      </c>
      <c r="B77" s="29"/>
      <c r="C77" s="28">
        <v>75</v>
      </c>
      <c r="D77" s="28" t="e">
        <f t="shared" si="1"/>
        <v>#N/A</v>
      </c>
    </row>
    <row r="78" spans="1:4" x14ac:dyDescent="0.25">
      <c r="A78" s="34">
        <f>IF(ISNUMBER(SEARCH(PLAN!$E$2,B78)),MAX(A$2:$A77)+1,0)</f>
        <v>0</v>
      </c>
      <c r="B78" s="29"/>
      <c r="C78" s="30">
        <v>76</v>
      </c>
      <c r="D78" s="28" t="e">
        <f t="shared" si="1"/>
        <v>#N/A</v>
      </c>
    </row>
    <row r="79" spans="1:4" x14ac:dyDescent="0.25">
      <c r="A79" s="34">
        <f>IF(ISNUMBER(SEARCH(PLAN!$E$2,B79)),MAX(A$2:$A78)+1,0)</f>
        <v>0</v>
      </c>
      <c r="B79" s="29"/>
      <c r="C79" s="28">
        <v>77</v>
      </c>
      <c r="D79" s="28" t="e">
        <f t="shared" si="1"/>
        <v>#N/A</v>
      </c>
    </row>
    <row r="80" spans="1:4" x14ac:dyDescent="0.25">
      <c r="A80" s="34">
        <f>IF(ISNUMBER(SEARCH(PLAN!$E$2,B80)),MAX(A$2:$A79)+1,0)</f>
        <v>0</v>
      </c>
      <c r="B80" s="29"/>
      <c r="C80" s="30">
        <v>78</v>
      </c>
      <c r="D80" s="28" t="e">
        <f t="shared" si="1"/>
        <v>#N/A</v>
      </c>
    </row>
    <row r="81" spans="1:4" x14ac:dyDescent="0.25">
      <c r="A81" s="34">
        <f>IF(ISNUMBER(SEARCH(PLAN!$E$2,B81)),MAX(A$2:$A80)+1,0)</f>
        <v>0</v>
      </c>
      <c r="B81" s="29"/>
      <c r="C81" s="28">
        <v>79</v>
      </c>
      <c r="D81" s="28" t="e">
        <f t="shared" si="1"/>
        <v>#N/A</v>
      </c>
    </row>
    <row r="82" spans="1:4" x14ac:dyDescent="0.25">
      <c r="A82" s="34">
        <f>IF(ISNUMBER(SEARCH(PLAN!$E$2,B82)),MAX(A$2:$A81)+1,0)</f>
        <v>0</v>
      </c>
      <c r="B82" s="29"/>
      <c r="C82" s="30">
        <v>80</v>
      </c>
      <c r="D82" s="28" t="e">
        <f t="shared" si="1"/>
        <v>#N/A</v>
      </c>
    </row>
    <row r="83" spans="1:4" x14ac:dyDescent="0.25">
      <c r="A83" s="34">
        <f>IF(ISNUMBER(SEARCH(PLAN!$E$2,B83)),MAX(A$2:$A82)+1,0)</f>
        <v>0</v>
      </c>
      <c r="B83" s="29"/>
      <c r="C83" s="28">
        <v>81</v>
      </c>
      <c r="D83" s="28" t="e">
        <f t="shared" si="1"/>
        <v>#N/A</v>
      </c>
    </row>
    <row r="84" spans="1:4" x14ac:dyDescent="0.25">
      <c r="A84" s="34">
        <f>IF(ISNUMBER(SEARCH(PLAN!$E$2,B84)),MAX(A$2:$A83)+1,0)</f>
        <v>0</v>
      </c>
      <c r="B84" s="29"/>
      <c r="C84" s="30">
        <v>82</v>
      </c>
      <c r="D84" s="28" t="e">
        <f t="shared" si="1"/>
        <v>#N/A</v>
      </c>
    </row>
    <row r="85" spans="1:4" x14ac:dyDescent="0.25">
      <c r="A85" s="34">
        <f>IF(ISNUMBER(SEARCH(PLAN!$E$2,B85)),MAX(A$2:$A84)+1,0)</f>
        <v>0</v>
      </c>
      <c r="B85" s="29"/>
      <c r="C85" s="28">
        <v>83</v>
      </c>
      <c r="D85" s="28" t="e">
        <f t="shared" si="1"/>
        <v>#N/A</v>
      </c>
    </row>
    <row r="86" spans="1:4" x14ac:dyDescent="0.25">
      <c r="A86" s="34">
        <f>IF(ISNUMBER(SEARCH(PLAN!$E$2,B86)),MAX(A$2:$A85)+1,0)</f>
        <v>0</v>
      </c>
      <c r="B86" s="29"/>
      <c r="C86" s="30">
        <v>84</v>
      </c>
      <c r="D86" s="28" t="e">
        <f t="shared" si="1"/>
        <v>#N/A</v>
      </c>
    </row>
    <row r="87" spans="1:4" x14ac:dyDescent="0.25">
      <c r="A87" s="34">
        <f>IF(ISNUMBER(SEARCH(PLAN!$E$2,B87)),MAX(A$2:$A86)+1,0)</f>
        <v>0</v>
      </c>
      <c r="B87" s="29"/>
      <c r="C87" s="28">
        <v>85</v>
      </c>
      <c r="D87" s="28" t="e">
        <f t="shared" si="1"/>
        <v>#N/A</v>
      </c>
    </row>
    <row r="88" spans="1:4" x14ac:dyDescent="0.25">
      <c r="A88" s="34">
        <f>IF(ISNUMBER(SEARCH(PLAN!$E$2,B88)),MAX(A$2:$A87)+1,0)</f>
        <v>0</v>
      </c>
      <c r="B88" s="29"/>
      <c r="C88" s="30">
        <v>86</v>
      </c>
      <c r="D88" s="28" t="e">
        <f t="shared" si="1"/>
        <v>#N/A</v>
      </c>
    </row>
    <row r="89" spans="1:4" x14ac:dyDescent="0.25">
      <c r="A89" s="34">
        <f>IF(ISNUMBER(SEARCH(PLAN!$E$2,B89)),MAX(A$2:$A88)+1,0)</f>
        <v>0</v>
      </c>
      <c r="B89" s="29"/>
      <c r="C89" s="28">
        <v>87</v>
      </c>
      <c r="D89" s="28" t="e">
        <f t="shared" si="1"/>
        <v>#N/A</v>
      </c>
    </row>
    <row r="90" spans="1:4" x14ac:dyDescent="0.25">
      <c r="A90" s="34">
        <f>IF(ISNUMBER(SEARCH(PLAN!$E$2,B90)),MAX(A$2:$A89)+1,0)</f>
        <v>0</v>
      </c>
      <c r="B90" s="29"/>
      <c r="C90" s="30">
        <v>88</v>
      </c>
      <c r="D90" s="28" t="e">
        <f t="shared" si="1"/>
        <v>#N/A</v>
      </c>
    </row>
    <row r="91" spans="1:4" x14ac:dyDescent="0.25">
      <c r="A91" s="34">
        <f>IF(ISNUMBER(SEARCH(PLAN!$E$2,B91)),MAX(A$2:$A90)+1,0)</f>
        <v>0</v>
      </c>
      <c r="B91" s="29"/>
      <c r="C91" s="28">
        <v>89</v>
      </c>
      <c r="D91" s="28" t="e">
        <f t="shared" si="1"/>
        <v>#N/A</v>
      </c>
    </row>
    <row r="92" spans="1:4" x14ac:dyDescent="0.25">
      <c r="A92" s="34">
        <f>IF(ISNUMBER(SEARCH(PLAN!$E$2,B92)),MAX(A$2:$A91)+1,0)</f>
        <v>0</v>
      </c>
      <c r="B92" s="29"/>
      <c r="C92" s="30">
        <v>90</v>
      </c>
      <c r="D92" s="28" t="e">
        <f t="shared" si="1"/>
        <v>#N/A</v>
      </c>
    </row>
    <row r="93" spans="1:4" x14ac:dyDescent="0.25">
      <c r="A93" s="34">
        <f>IF(ISNUMBER(SEARCH(PLAN!$E$2,B93)),MAX(A$2:$A92)+1,0)</f>
        <v>0</v>
      </c>
      <c r="B93" s="29"/>
      <c r="C93" s="28">
        <v>91</v>
      </c>
      <c r="D93" s="28" t="e">
        <f t="shared" si="1"/>
        <v>#N/A</v>
      </c>
    </row>
    <row r="94" spans="1:4" x14ac:dyDescent="0.25">
      <c r="A94" s="34">
        <f>IF(ISNUMBER(SEARCH(PLAN!$E$2,B94)),MAX(A$2:$A93)+1,0)</f>
        <v>0</v>
      </c>
      <c r="B94" s="29"/>
      <c r="C94" s="30">
        <v>92</v>
      </c>
      <c r="D94" s="28" t="e">
        <f t="shared" si="1"/>
        <v>#N/A</v>
      </c>
    </row>
    <row r="95" spans="1:4" x14ac:dyDescent="0.25">
      <c r="A95" s="34">
        <f>IF(ISNUMBER(SEARCH(PLAN!$E$2,B95)),MAX(A$2:$A94)+1,0)</f>
        <v>0</v>
      </c>
      <c r="B95" s="29"/>
      <c r="C95" s="28">
        <v>93</v>
      </c>
      <c r="D95" s="28" t="e">
        <f t="shared" si="1"/>
        <v>#N/A</v>
      </c>
    </row>
    <row r="96" spans="1:4" x14ac:dyDescent="0.25">
      <c r="A96" s="34">
        <f>IF(ISNUMBER(SEARCH(PLAN!$E$2,B96)),MAX(A$2:$A95)+1,0)</f>
        <v>0</v>
      </c>
      <c r="B96" s="29"/>
      <c r="C96" s="30">
        <v>94</v>
      </c>
      <c r="D96" s="28" t="e">
        <f t="shared" si="1"/>
        <v>#N/A</v>
      </c>
    </row>
    <row r="97" spans="1:4" x14ac:dyDescent="0.25">
      <c r="A97" s="34">
        <f>IF(ISNUMBER(SEARCH(PLAN!$E$2,B97)),MAX(A$2:$A96)+1,0)</f>
        <v>0</v>
      </c>
      <c r="B97" s="29"/>
      <c r="C97" s="28">
        <v>95</v>
      </c>
      <c r="D97" s="28" t="e">
        <f t="shared" si="1"/>
        <v>#N/A</v>
      </c>
    </row>
    <row r="98" spans="1:4" x14ac:dyDescent="0.25">
      <c r="A98" s="34">
        <f>IF(ISNUMBER(SEARCH(PLAN!$E$2,B98)),MAX(A$2:$A97)+1,0)</f>
        <v>0</v>
      </c>
      <c r="B98" s="29"/>
      <c r="C98" s="30">
        <v>96</v>
      </c>
      <c r="D98" s="28" t="e">
        <f t="shared" si="1"/>
        <v>#N/A</v>
      </c>
    </row>
    <row r="99" spans="1:4" x14ac:dyDescent="0.25">
      <c r="A99" s="34">
        <f>IF(ISNUMBER(SEARCH(PLAN!$E$2,B99)),MAX(A$2:$A98)+1,0)</f>
        <v>0</v>
      </c>
      <c r="B99" s="29"/>
      <c r="C99" s="28">
        <v>97</v>
      </c>
      <c r="D99" s="28" t="e">
        <f t="shared" si="1"/>
        <v>#N/A</v>
      </c>
    </row>
    <row r="100" spans="1:4" x14ac:dyDescent="0.25">
      <c r="A100" s="34">
        <f>IF(ISNUMBER(SEARCH(PLAN!$E$2,B100)),MAX(A$2:$A99)+1,0)</f>
        <v>0</v>
      </c>
      <c r="B100" s="29"/>
      <c r="C100" s="30">
        <v>98</v>
      </c>
      <c r="D100" s="28" t="e">
        <f t="shared" si="1"/>
        <v>#N/A</v>
      </c>
    </row>
    <row r="101" spans="1:4" x14ac:dyDescent="0.25">
      <c r="A101" s="34">
        <f>IF(ISNUMBER(SEARCH(PLAN!$E$2,B101)),MAX(A$2:$A100)+1,0)</f>
        <v>0</v>
      </c>
      <c r="B101" s="29"/>
      <c r="C101" s="28">
        <v>99</v>
      </c>
      <c r="D101" s="28" t="e">
        <f t="shared" si="1"/>
        <v>#N/A</v>
      </c>
    </row>
    <row r="102" spans="1:4" x14ac:dyDescent="0.25">
      <c r="A102" s="34">
        <f>IF(ISNUMBER(SEARCH(PLAN!$E$2,B102)),MAX(A$2:$A101)+1,0)</f>
        <v>0</v>
      </c>
      <c r="B102" s="29"/>
      <c r="C102" s="30">
        <v>100</v>
      </c>
      <c r="D102" s="28" t="e">
        <f t="shared" si="1"/>
        <v>#N/A</v>
      </c>
    </row>
    <row r="103" spans="1:4" x14ac:dyDescent="0.25">
      <c r="A103" s="34">
        <f>IF(ISNUMBER(SEARCH(PLAN!$E$2,B103)),MAX(A$2:$A102)+1,0)</f>
        <v>0</v>
      </c>
      <c r="B103" s="29"/>
      <c r="C103" s="28">
        <v>101</v>
      </c>
      <c r="D103" s="28" t="e">
        <f t="shared" si="1"/>
        <v>#N/A</v>
      </c>
    </row>
    <row r="104" spans="1:4" x14ac:dyDescent="0.25">
      <c r="A104" s="34">
        <f>IF(ISNUMBER(SEARCH(PLAN!$E$2,B104)),MAX(A$2:$A103)+1,0)</f>
        <v>0</v>
      </c>
      <c r="B104" s="29"/>
      <c r="C104" s="30">
        <v>102</v>
      </c>
      <c r="D104" s="28" t="e">
        <f t="shared" si="1"/>
        <v>#N/A</v>
      </c>
    </row>
    <row r="105" spans="1:4" x14ac:dyDescent="0.25">
      <c r="A105" s="34">
        <f>IF(ISNUMBER(SEARCH(PLAN!$E$2,B105)),MAX(A$2:$A104)+1,0)</f>
        <v>0</v>
      </c>
      <c r="B105" s="29"/>
      <c r="C105" s="28">
        <v>103</v>
      </c>
      <c r="D105" s="28" t="e">
        <f t="shared" si="1"/>
        <v>#N/A</v>
      </c>
    </row>
    <row r="106" spans="1:4" x14ac:dyDescent="0.25">
      <c r="A106" s="34">
        <f>IF(ISNUMBER(SEARCH(PLAN!$E$2,B106)),MAX(A$2:$A105)+1,0)</f>
        <v>0</v>
      </c>
      <c r="B106" s="29"/>
      <c r="C106" s="30">
        <v>104</v>
      </c>
      <c r="D106" s="28" t="e">
        <f t="shared" si="1"/>
        <v>#N/A</v>
      </c>
    </row>
    <row r="107" spans="1:4" x14ac:dyDescent="0.25">
      <c r="A107" s="34">
        <f>IF(ISNUMBER(SEARCH(PLAN!$E$2,B107)),MAX(A$2:$A106)+1,0)</f>
        <v>0</v>
      </c>
      <c r="B107" s="29"/>
      <c r="C107" s="28">
        <v>105</v>
      </c>
      <c r="D107" s="28" t="e">
        <f t="shared" si="1"/>
        <v>#N/A</v>
      </c>
    </row>
    <row r="108" spans="1:4" x14ac:dyDescent="0.25">
      <c r="A108" s="34">
        <f>IF(ISNUMBER(SEARCH(PLAN!$E$2,B108)),MAX(A$2:$A107)+1,0)</f>
        <v>0</v>
      </c>
      <c r="B108" s="29"/>
      <c r="C108" s="30">
        <v>106</v>
      </c>
      <c r="D108" s="28" t="e">
        <f t="shared" si="1"/>
        <v>#N/A</v>
      </c>
    </row>
    <row r="109" spans="1:4" x14ac:dyDescent="0.25">
      <c r="A109" s="34">
        <f>IF(ISNUMBER(SEARCH(PLAN!$E$2,B109)),MAX(A$2:$A108)+1,0)</f>
        <v>0</v>
      </c>
      <c r="B109" s="29"/>
      <c r="C109" s="28">
        <v>107</v>
      </c>
      <c r="D109" s="28" t="e">
        <f t="shared" si="1"/>
        <v>#N/A</v>
      </c>
    </row>
    <row r="110" spans="1:4" x14ac:dyDescent="0.25">
      <c r="A110" s="34">
        <f>IF(ISNUMBER(SEARCH(PLAN!$E$2,B110)),MAX(A$2:$A109)+1,0)</f>
        <v>0</v>
      </c>
      <c r="B110" s="29"/>
      <c r="C110" s="30">
        <v>108</v>
      </c>
      <c r="D110" s="28" t="e">
        <f t="shared" si="1"/>
        <v>#N/A</v>
      </c>
    </row>
    <row r="111" spans="1:4" x14ac:dyDescent="0.25">
      <c r="A111" s="34">
        <f>IF(ISNUMBER(SEARCH(PLAN!$E$2,B111)),MAX(A$2:$A110)+1,0)</f>
        <v>0</v>
      </c>
      <c r="B111" s="29"/>
      <c r="C111" s="28">
        <v>109</v>
      </c>
      <c r="D111" s="28" t="e">
        <f t="shared" si="1"/>
        <v>#N/A</v>
      </c>
    </row>
    <row r="112" spans="1:4" x14ac:dyDescent="0.25">
      <c r="A112" s="34">
        <f>IF(ISNUMBER(SEARCH(PLAN!$E$2,B112)),MAX(A$2:$A111)+1,0)</f>
        <v>0</v>
      </c>
      <c r="B112" s="29"/>
      <c r="C112" s="30">
        <v>110</v>
      </c>
      <c r="D112" s="28" t="e">
        <f t="shared" si="1"/>
        <v>#N/A</v>
      </c>
    </row>
    <row r="113" spans="1:4" x14ac:dyDescent="0.25">
      <c r="A113" s="34">
        <f>IF(ISNUMBER(SEARCH(PLAN!$E$2,B113)),MAX(A$2:$A112)+1,0)</f>
        <v>0</v>
      </c>
      <c r="B113" s="29"/>
      <c r="C113" s="28">
        <v>111</v>
      </c>
      <c r="D113" s="28" t="e">
        <f t="shared" si="1"/>
        <v>#N/A</v>
      </c>
    </row>
    <row r="114" spans="1:4" x14ac:dyDescent="0.25">
      <c r="A114" s="34">
        <f>IF(ISNUMBER(SEARCH(PLAN!$E$2,B114)),MAX(A$2:$A113)+1,0)</f>
        <v>0</v>
      </c>
      <c r="B114" s="29"/>
      <c r="C114" s="30">
        <v>112</v>
      </c>
      <c r="D114" s="28" t="e">
        <f t="shared" si="1"/>
        <v>#N/A</v>
      </c>
    </row>
    <row r="115" spans="1:4" x14ac:dyDescent="0.25">
      <c r="A115" s="34">
        <f>IF(ISNUMBER(SEARCH(PLAN!$E$2,B115)),MAX(A$2:$A114)+1,0)</f>
        <v>0</v>
      </c>
      <c r="B115" s="29"/>
      <c r="C115" s="28">
        <v>113</v>
      </c>
      <c r="D115" s="28" t="e">
        <f t="shared" si="1"/>
        <v>#N/A</v>
      </c>
    </row>
    <row r="116" spans="1:4" x14ac:dyDescent="0.25">
      <c r="A116" s="34">
        <f>IF(ISNUMBER(SEARCH(PLAN!$E$2,B116)),MAX(A$2:$A115)+1,0)</f>
        <v>0</v>
      </c>
      <c r="B116" s="29"/>
      <c r="C116" s="30">
        <v>114</v>
      </c>
      <c r="D116" s="28" t="e">
        <f t="shared" si="1"/>
        <v>#N/A</v>
      </c>
    </row>
    <row r="117" spans="1:4" x14ac:dyDescent="0.25">
      <c r="A117" s="34">
        <f>IF(ISNUMBER(SEARCH(PLAN!$E$2,B117)),MAX(A$2:$A116)+1,0)</f>
        <v>0</v>
      </c>
      <c r="B117" s="29"/>
      <c r="C117" s="28">
        <v>115</v>
      </c>
      <c r="D117" s="28" t="e">
        <f t="shared" si="1"/>
        <v>#N/A</v>
      </c>
    </row>
    <row r="118" spans="1:4" x14ac:dyDescent="0.25">
      <c r="A118" s="34">
        <f>IF(ISNUMBER(SEARCH(PLAN!$E$2,B118)),MAX(A$2:$A117)+1,0)</f>
        <v>0</v>
      </c>
      <c r="B118" s="29"/>
      <c r="C118" s="30">
        <v>116</v>
      </c>
      <c r="D118" s="28" t="e">
        <f t="shared" si="1"/>
        <v>#N/A</v>
      </c>
    </row>
    <row r="119" spans="1:4" x14ac:dyDescent="0.25">
      <c r="A119" s="34">
        <f>IF(ISNUMBER(SEARCH(PLAN!$E$2,B119)),MAX(A$2:$A118)+1,0)</f>
        <v>0</v>
      </c>
      <c r="B119" s="29"/>
      <c r="C119" s="28">
        <v>117</v>
      </c>
      <c r="D119" s="28" t="e">
        <f t="shared" si="1"/>
        <v>#N/A</v>
      </c>
    </row>
    <row r="120" spans="1:4" x14ac:dyDescent="0.25">
      <c r="A120" s="34">
        <f>IF(ISNUMBER(SEARCH(PLAN!$E$2,B120)),MAX(A$2:$A119)+1,0)</f>
        <v>0</v>
      </c>
      <c r="B120" s="29"/>
      <c r="C120" s="30">
        <v>118</v>
      </c>
      <c r="D120" s="28" t="e">
        <f t="shared" si="1"/>
        <v>#N/A</v>
      </c>
    </row>
    <row r="121" spans="1:4" x14ac:dyDescent="0.25">
      <c r="A121" s="34">
        <f>IF(ISNUMBER(SEARCH(PLAN!$E$2,B121)),MAX(A$2:$A120)+1,0)</f>
        <v>0</v>
      </c>
      <c r="B121" s="29"/>
      <c r="C121" s="28">
        <v>119</v>
      </c>
      <c r="D121" s="28" t="e">
        <f t="shared" si="1"/>
        <v>#N/A</v>
      </c>
    </row>
    <row r="122" spans="1:4" x14ac:dyDescent="0.25">
      <c r="A122" s="34">
        <f>IF(ISNUMBER(SEARCH(PLAN!$E$2,B122)),MAX(A$2:$A121)+1,0)</f>
        <v>0</v>
      </c>
      <c r="B122" s="29"/>
      <c r="C122" s="30">
        <v>120</v>
      </c>
      <c r="D122" s="28" t="e">
        <f t="shared" si="1"/>
        <v>#N/A</v>
      </c>
    </row>
    <row r="123" spans="1:4" x14ac:dyDescent="0.25">
      <c r="A123" s="34">
        <f>IF(ISNUMBER(SEARCH(PLAN!$E$2,B123)),MAX(A$2:$A122)+1,0)</f>
        <v>0</v>
      </c>
      <c r="B123" s="29"/>
      <c r="C123" s="28">
        <v>121</v>
      </c>
      <c r="D123" s="28" t="e">
        <f t="shared" si="1"/>
        <v>#N/A</v>
      </c>
    </row>
    <row r="124" spans="1:4" x14ac:dyDescent="0.25">
      <c r="A124" s="34">
        <f>IF(ISNUMBER(SEARCH(PLAN!$E$2,B124)),MAX(A$2:$A123)+1,0)</f>
        <v>0</v>
      </c>
      <c r="B124" s="29"/>
      <c r="C124" s="30">
        <v>122</v>
      </c>
      <c r="D124" s="28" t="e">
        <f t="shared" si="1"/>
        <v>#N/A</v>
      </c>
    </row>
    <row r="125" spans="1:4" x14ac:dyDescent="0.25">
      <c r="A125" s="34">
        <f>IF(ISNUMBER(SEARCH(PLAN!$E$2,B125)),MAX(A$2:$A124)+1,0)</f>
        <v>0</v>
      </c>
      <c r="B125" s="29"/>
      <c r="C125" s="28">
        <v>123</v>
      </c>
      <c r="D125" s="28" t="e">
        <f t="shared" si="1"/>
        <v>#N/A</v>
      </c>
    </row>
    <row r="126" spans="1:4" x14ac:dyDescent="0.25">
      <c r="A126" s="34">
        <f>IF(ISNUMBER(SEARCH(PLAN!$E$2,B126)),MAX(A$2:$A125)+1,0)</f>
        <v>0</v>
      </c>
      <c r="B126" s="29"/>
      <c r="C126" s="30">
        <v>124</v>
      </c>
      <c r="D126" s="28" t="e">
        <f t="shared" si="1"/>
        <v>#N/A</v>
      </c>
    </row>
    <row r="127" spans="1:4" x14ac:dyDescent="0.25">
      <c r="A127" s="34">
        <f>IF(ISNUMBER(SEARCH(PLAN!$E$2,B127)),MAX(A$2:$A126)+1,0)</f>
        <v>0</v>
      </c>
      <c r="B127" s="29"/>
      <c r="C127" s="28">
        <v>125</v>
      </c>
      <c r="D127" s="28" t="e">
        <f t="shared" si="1"/>
        <v>#N/A</v>
      </c>
    </row>
    <row r="128" spans="1:4" x14ac:dyDescent="0.25">
      <c r="A128" s="34">
        <f>IF(ISNUMBER(SEARCH(PLAN!$E$2,B128)),MAX(A$2:$A127)+1,0)</f>
        <v>0</v>
      </c>
      <c r="B128" s="29"/>
      <c r="C128" s="30">
        <v>126</v>
      </c>
      <c r="D128" s="28" t="e">
        <f t="shared" si="1"/>
        <v>#N/A</v>
      </c>
    </row>
    <row r="129" spans="1:4" x14ac:dyDescent="0.25">
      <c r="A129" s="34">
        <f>IF(ISNUMBER(SEARCH(PLAN!$E$2,B129)),MAX(A$2:$A128)+1,0)</f>
        <v>0</v>
      </c>
      <c r="B129" s="29"/>
      <c r="C129" s="28">
        <v>127</v>
      </c>
      <c r="D129" s="28" t="e">
        <f t="shared" si="1"/>
        <v>#N/A</v>
      </c>
    </row>
    <row r="130" spans="1:4" x14ac:dyDescent="0.25">
      <c r="A130" s="34">
        <f>IF(ISNUMBER(SEARCH(PLAN!$E$2,B130)),MAX(A$2:$A129)+1,0)</f>
        <v>0</v>
      </c>
      <c r="B130" s="29"/>
      <c r="C130" s="30">
        <v>128</v>
      </c>
      <c r="D130" s="28" t="e">
        <f t="shared" si="1"/>
        <v>#N/A</v>
      </c>
    </row>
    <row r="131" spans="1:4" x14ac:dyDescent="0.25">
      <c r="A131" s="34">
        <f>IF(ISNUMBER(SEARCH(PLAN!$E$2,B131)),MAX(A$2:$A130)+1,0)</f>
        <v>0</v>
      </c>
      <c r="B131" s="29"/>
      <c r="C131" s="28">
        <v>129</v>
      </c>
      <c r="D131" s="28" t="e">
        <f t="shared" ref="D131:D194" si="2">VLOOKUP(C131,A:B,2,0)</f>
        <v>#N/A</v>
      </c>
    </row>
    <row r="132" spans="1:4" x14ac:dyDescent="0.25">
      <c r="A132" s="34">
        <f>IF(ISNUMBER(SEARCH(PLAN!$E$2,B132)),MAX(A$2:$A131)+1,0)</f>
        <v>0</v>
      </c>
      <c r="B132" s="29"/>
      <c r="C132" s="30">
        <v>130</v>
      </c>
      <c r="D132" s="28" t="e">
        <f t="shared" si="2"/>
        <v>#N/A</v>
      </c>
    </row>
    <row r="133" spans="1:4" x14ac:dyDescent="0.25">
      <c r="A133" s="34">
        <f>IF(ISNUMBER(SEARCH(PLAN!$E$2,B133)),MAX(A$2:$A132)+1,0)</f>
        <v>0</v>
      </c>
      <c r="B133" s="29"/>
      <c r="C133" s="28">
        <v>131</v>
      </c>
      <c r="D133" s="28" t="e">
        <f t="shared" si="2"/>
        <v>#N/A</v>
      </c>
    </row>
    <row r="134" spans="1:4" x14ac:dyDescent="0.25">
      <c r="A134" s="34">
        <f>IF(ISNUMBER(SEARCH(PLAN!$E$2,B134)),MAX(A$2:$A133)+1,0)</f>
        <v>0</v>
      </c>
      <c r="B134" s="29"/>
      <c r="C134" s="30">
        <v>132</v>
      </c>
      <c r="D134" s="28" t="e">
        <f t="shared" si="2"/>
        <v>#N/A</v>
      </c>
    </row>
    <row r="135" spans="1:4" x14ac:dyDescent="0.25">
      <c r="A135" s="34">
        <f>IF(ISNUMBER(SEARCH(PLAN!$E$2,B135)),MAX(A$2:$A134)+1,0)</f>
        <v>0</v>
      </c>
      <c r="B135" s="29"/>
      <c r="C135" s="28">
        <v>133</v>
      </c>
      <c r="D135" s="28" t="e">
        <f t="shared" si="2"/>
        <v>#N/A</v>
      </c>
    </row>
    <row r="136" spans="1:4" x14ac:dyDescent="0.25">
      <c r="A136" s="34">
        <f>IF(ISNUMBER(SEARCH(PLAN!$E$2,B136)),MAX(A$2:$A135)+1,0)</f>
        <v>0</v>
      </c>
      <c r="B136" s="29"/>
      <c r="C136" s="30">
        <v>134</v>
      </c>
      <c r="D136" s="28" t="e">
        <f t="shared" si="2"/>
        <v>#N/A</v>
      </c>
    </row>
    <row r="137" spans="1:4" x14ac:dyDescent="0.25">
      <c r="A137" s="34">
        <f>IF(ISNUMBER(SEARCH(PLAN!$E$2,B137)),MAX(A$2:$A136)+1,0)</f>
        <v>0</v>
      </c>
      <c r="B137" s="29"/>
      <c r="C137" s="28">
        <v>135</v>
      </c>
      <c r="D137" s="28" t="e">
        <f t="shared" si="2"/>
        <v>#N/A</v>
      </c>
    </row>
    <row r="138" spans="1:4" x14ac:dyDescent="0.25">
      <c r="A138" s="34">
        <f>IF(ISNUMBER(SEARCH(PLAN!$E$2,B138)),MAX(A$2:$A137)+1,0)</f>
        <v>0</v>
      </c>
      <c r="B138" s="29"/>
      <c r="C138" s="30">
        <v>136</v>
      </c>
      <c r="D138" s="28" t="e">
        <f t="shared" si="2"/>
        <v>#N/A</v>
      </c>
    </row>
    <row r="139" spans="1:4" x14ac:dyDescent="0.25">
      <c r="A139" s="34">
        <f>IF(ISNUMBER(SEARCH(PLAN!$E$2,B139)),MAX(A$2:$A138)+1,0)</f>
        <v>0</v>
      </c>
      <c r="B139" s="29"/>
      <c r="C139" s="28">
        <v>137</v>
      </c>
      <c r="D139" s="28" t="e">
        <f t="shared" si="2"/>
        <v>#N/A</v>
      </c>
    </row>
    <row r="140" spans="1:4" x14ac:dyDescent="0.25">
      <c r="A140" s="34">
        <f>IF(ISNUMBER(SEARCH(PLAN!$E$2,B140)),MAX(A$2:$A139)+1,0)</f>
        <v>0</v>
      </c>
      <c r="B140" s="29"/>
      <c r="C140" s="30">
        <v>138</v>
      </c>
      <c r="D140" s="28" t="e">
        <f t="shared" si="2"/>
        <v>#N/A</v>
      </c>
    </row>
    <row r="141" spans="1:4" x14ac:dyDescent="0.25">
      <c r="A141" s="34">
        <f>IF(ISNUMBER(SEARCH(PLAN!$E$2,B141)),MAX(A$2:$A140)+1,0)</f>
        <v>0</v>
      </c>
      <c r="B141" s="29"/>
      <c r="C141" s="28">
        <v>139</v>
      </c>
      <c r="D141" s="28" t="e">
        <f t="shared" si="2"/>
        <v>#N/A</v>
      </c>
    </row>
    <row r="142" spans="1:4" x14ac:dyDescent="0.25">
      <c r="A142" s="34">
        <f>IF(ISNUMBER(SEARCH(PLAN!$E$2,B142)),MAX(A$2:$A141)+1,0)</f>
        <v>0</v>
      </c>
      <c r="B142" s="29"/>
      <c r="C142" s="30">
        <v>140</v>
      </c>
      <c r="D142" s="28" t="e">
        <f t="shared" si="2"/>
        <v>#N/A</v>
      </c>
    </row>
    <row r="143" spans="1:4" x14ac:dyDescent="0.25">
      <c r="A143" s="34">
        <f>IF(ISNUMBER(SEARCH(PLAN!$E$2,B143)),MAX(A$2:$A142)+1,0)</f>
        <v>0</v>
      </c>
      <c r="B143" s="29"/>
      <c r="C143" s="28">
        <v>141</v>
      </c>
      <c r="D143" s="28" t="e">
        <f t="shared" si="2"/>
        <v>#N/A</v>
      </c>
    </row>
    <row r="144" spans="1:4" x14ac:dyDescent="0.25">
      <c r="A144" s="34">
        <f>IF(ISNUMBER(SEARCH(PLAN!$E$2,B144)),MAX(A$2:$A143)+1,0)</f>
        <v>0</v>
      </c>
      <c r="B144" s="29"/>
      <c r="C144" s="30">
        <v>142</v>
      </c>
      <c r="D144" s="28" t="e">
        <f t="shared" si="2"/>
        <v>#N/A</v>
      </c>
    </row>
    <row r="145" spans="1:4" x14ac:dyDescent="0.25">
      <c r="A145" s="34">
        <f>IF(ISNUMBER(SEARCH(PLAN!$E$2,B145)),MAX(A$2:$A144)+1,0)</f>
        <v>0</v>
      </c>
      <c r="B145" s="29"/>
      <c r="C145" s="28">
        <v>143</v>
      </c>
      <c r="D145" s="28" t="e">
        <f t="shared" si="2"/>
        <v>#N/A</v>
      </c>
    </row>
    <row r="146" spans="1:4" x14ac:dyDescent="0.25">
      <c r="A146" s="34">
        <f>IF(ISNUMBER(SEARCH(PLAN!$E$2,B146)),MAX(A$2:$A145)+1,0)</f>
        <v>0</v>
      </c>
      <c r="B146" s="29"/>
      <c r="C146" s="30">
        <v>144</v>
      </c>
      <c r="D146" s="28" t="e">
        <f t="shared" si="2"/>
        <v>#N/A</v>
      </c>
    </row>
    <row r="147" spans="1:4" x14ac:dyDescent="0.25">
      <c r="A147" s="34">
        <f>IF(ISNUMBER(SEARCH(PLAN!$E$2,B147)),MAX(A$2:$A146)+1,0)</f>
        <v>0</v>
      </c>
      <c r="B147" s="29"/>
      <c r="C147" s="28">
        <v>145</v>
      </c>
      <c r="D147" s="28" t="e">
        <f t="shared" si="2"/>
        <v>#N/A</v>
      </c>
    </row>
    <row r="148" spans="1:4" x14ac:dyDescent="0.25">
      <c r="A148" s="34">
        <f>IF(ISNUMBER(SEARCH(PLAN!$E$2,B148)),MAX(A$2:$A147)+1,0)</f>
        <v>0</v>
      </c>
      <c r="B148" s="29"/>
      <c r="C148" s="30">
        <v>146</v>
      </c>
      <c r="D148" s="28" t="e">
        <f t="shared" si="2"/>
        <v>#N/A</v>
      </c>
    </row>
    <row r="149" spans="1:4" x14ac:dyDescent="0.25">
      <c r="A149" s="34">
        <f>IF(ISNUMBER(SEARCH(PLAN!$E$2,B149)),MAX(A$2:$A148)+1,0)</f>
        <v>0</v>
      </c>
      <c r="B149" s="29"/>
      <c r="C149" s="28">
        <v>147</v>
      </c>
      <c r="D149" s="28" t="e">
        <f t="shared" si="2"/>
        <v>#N/A</v>
      </c>
    </row>
    <row r="150" spans="1:4" x14ac:dyDescent="0.25">
      <c r="A150" s="34">
        <f>IF(ISNUMBER(SEARCH(PLAN!$E$2,B150)),MAX(A$2:$A149)+1,0)</f>
        <v>0</v>
      </c>
      <c r="B150" s="29"/>
      <c r="C150" s="30">
        <v>148</v>
      </c>
      <c r="D150" s="28" t="e">
        <f t="shared" si="2"/>
        <v>#N/A</v>
      </c>
    </row>
    <row r="151" spans="1:4" x14ac:dyDescent="0.25">
      <c r="A151" s="34">
        <f>IF(ISNUMBER(SEARCH(PLAN!$E$2,B151)),MAX(A$2:$A150)+1,0)</f>
        <v>0</v>
      </c>
      <c r="B151" s="29"/>
      <c r="C151" s="28">
        <v>149</v>
      </c>
      <c r="D151" s="28" t="e">
        <f t="shared" si="2"/>
        <v>#N/A</v>
      </c>
    </row>
    <row r="152" spans="1:4" x14ac:dyDescent="0.25">
      <c r="A152" s="34">
        <f>IF(ISNUMBER(SEARCH(PLAN!$E$2,B152)),MAX(A$2:$A151)+1,0)</f>
        <v>0</v>
      </c>
      <c r="B152" s="29"/>
      <c r="C152" s="30">
        <v>150</v>
      </c>
      <c r="D152" s="28" t="e">
        <f t="shared" si="2"/>
        <v>#N/A</v>
      </c>
    </row>
    <row r="153" spans="1:4" x14ac:dyDescent="0.25">
      <c r="A153" s="34">
        <f>IF(ISNUMBER(SEARCH(PLAN!$E$2,B153)),MAX(A$2:$A152)+1,0)</f>
        <v>0</v>
      </c>
      <c r="B153" s="29"/>
      <c r="C153" s="28">
        <v>151</v>
      </c>
      <c r="D153" s="28" t="e">
        <f t="shared" si="2"/>
        <v>#N/A</v>
      </c>
    </row>
    <row r="154" spans="1:4" x14ac:dyDescent="0.25">
      <c r="A154" s="34">
        <f>IF(ISNUMBER(SEARCH(PLAN!$E$2,B154)),MAX(A$2:$A153)+1,0)</f>
        <v>0</v>
      </c>
      <c r="B154" s="29"/>
      <c r="C154" s="30">
        <v>152</v>
      </c>
      <c r="D154" s="28" t="e">
        <f t="shared" si="2"/>
        <v>#N/A</v>
      </c>
    </row>
    <row r="155" spans="1:4" x14ac:dyDescent="0.25">
      <c r="A155" s="34">
        <f>IF(ISNUMBER(SEARCH(PLAN!$E$2,B155)),MAX(A$2:$A154)+1,0)</f>
        <v>0</v>
      </c>
      <c r="B155" s="29"/>
      <c r="C155" s="28">
        <v>153</v>
      </c>
      <c r="D155" s="28" t="e">
        <f t="shared" si="2"/>
        <v>#N/A</v>
      </c>
    </row>
    <row r="156" spans="1:4" x14ac:dyDescent="0.25">
      <c r="A156" s="34">
        <f>IF(ISNUMBER(SEARCH(PLAN!$E$2,B156)),MAX(A$2:$A155)+1,0)</f>
        <v>0</v>
      </c>
      <c r="B156" s="29"/>
      <c r="C156" s="30">
        <v>154</v>
      </c>
      <c r="D156" s="28" t="e">
        <f t="shared" si="2"/>
        <v>#N/A</v>
      </c>
    </row>
    <row r="157" spans="1:4" x14ac:dyDescent="0.25">
      <c r="A157" s="34">
        <f>IF(ISNUMBER(SEARCH(PLAN!$E$2,B157)),MAX(A$2:$A156)+1,0)</f>
        <v>0</v>
      </c>
      <c r="B157" s="29"/>
      <c r="C157" s="28">
        <v>155</v>
      </c>
      <c r="D157" s="28" t="e">
        <f t="shared" si="2"/>
        <v>#N/A</v>
      </c>
    </row>
    <row r="158" spans="1:4" x14ac:dyDescent="0.25">
      <c r="A158" s="34">
        <f>IF(ISNUMBER(SEARCH(PLAN!$E$2,B158)),MAX(A$2:$A157)+1,0)</f>
        <v>0</v>
      </c>
      <c r="B158" s="29"/>
      <c r="C158" s="30">
        <v>156</v>
      </c>
      <c r="D158" s="28" t="e">
        <f t="shared" si="2"/>
        <v>#N/A</v>
      </c>
    </row>
    <row r="159" spans="1:4" x14ac:dyDescent="0.25">
      <c r="A159" s="34">
        <f>IF(ISNUMBER(SEARCH(PLAN!$E$2,B159)),MAX(A$2:$A158)+1,0)</f>
        <v>0</v>
      </c>
      <c r="B159" s="29"/>
      <c r="C159" s="28">
        <v>157</v>
      </c>
      <c r="D159" s="28" t="e">
        <f t="shared" si="2"/>
        <v>#N/A</v>
      </c>
    </row>
    <row r="160" spans="1:4" x14ac:dyDescent="0.25">
      <c r="A160" s="34">
        <f>IF(ISNUMBER(SEARCH(PLAN!$E$2,B160)),MAX(A$2:$A159)+1,0)</f>
        <v>0</v>
      </c>
      <c r="B160" s="29"/>
      <c r="C160" s="30">
        <v>158</v>
      </c>
      <c r="D160" s="28" t="e">
        <f t="shared" si="2"/>
        <v>#N/A</v>
      </c>
    </row>
    <row r="161" spans="1:4" x14ac:dyDescent="0.25">
      <c r="A161" s="34">
        <f>IF(ISNUMBER(SEARCH(PLAN!$E$2,B161)),MAX(A$2:$A160)+1,0)</f>
        <v>0</v>
      </c>
      <c r="B161" s="29"/>
      <c r="C161" s="28">
        <v>159</v>
      </c>
      <c r="D161" s="28" t="e">
        <f t="shared" si="2"/>
        <v>#N/A</v>
      </c>
    </row>
    <row r="162" spans="1:4" x14ac:dyDescent="0.25">
      <c r="A162" s="34">
        <f>IF(ISNUMBER(SEARCH(PLAN!$E$2,B162)),MAX(A$2:$A161)+1,0)</f>
        <v>0</v>
      </c>
      <c r="B162" s="29"/>
      <c r="C162" s="30">
        <v>160</v>
      </c>
      <c r="D162" s="28" t="e">
        <f t="shared" si="2"/>
        <v>#N/A</v>
      </c>
    </row>
    <row r="163" spans="1:4" x14ac:dyDescent="0.25">
      <c r="A163" s="34">
        <f>IF(ISNUMBER(SEARCH(PLAN!$E$2,B163)),MAX(A$2:$A162)+1,0)</f>
        <v>0</v>
      </c>
      <c r="B163" s="29"/>
      <c r="C163" s="28">
        <v>161</v>
      </c>
      <c r="D163" s="28" t="e">
        <f t="shared" si="2"/>
        <v>#N/A</v>
      </c>
    </row>
    <row r="164" spans="1:4" x14ac:dyDescent="0.25">
      <c r="A164" s="34">
        <f>IF(ISNUMBER(SEARCH(PLAN!$E$2,B164)),MAX(A$2:$A163)+1,0)</f>
        <v>0</v>
      </c>
      <c r="B164" s="29"/>
      <c r="C164" s="30">
        <v>162</v>
      </c>
      <c r="D164" s="28" t="e">
        <f t="shared" si="2"/>
        <v>#N/A</v>
      </c>
    </row>
    <row r="165" spans="1:4" x14ac:dyDescent="0.25">
      <c r="A165" s="34">
        <f>IF(ISNUMBER(SEARCH(PLAN!$E$2,B165)),MAX(A$2:$A164)+1,0)</f>
        <v>0</v>
      </c>
      <c r="B165" s="29"/>
      <c r="C165" s="28">
        <v>163</v>
      </c>
      <c r="D165" s="28" t="e">
        <f t="shared" si="2"/>
        <v>#N/A</v>
      </c>
    </row>
    <row r="166" spans="1:4" x14ac:dyDescent="0.25">
      <c r="A166" s="34">
        <f>IF(ISNUMBER(SEARCH(PLAN!$E$2,B166)),MAX(A$2:$A165)+1,0)</f>
        <v>0</v>
      </c>
      <c r="B166" s="29"/>
      <c r="C166" s="30">
        <v>164</v>
      </c>
      <c r="D166" s="28" t="e">
        <f t="shared" si="2"/>
        <v>#N/A</v>
      </c>
    </row>
    <row r="167" spans="1:4" x14ac:dyDescent="0.25">
      <c r="A167" s="34">
        <f>IF(ISNUMBER(SEARCH(PLAN!$E$2,B167)),MAX(A$2:$A166)+1,0)</f>
        <v>0</v>
      </c>
      <c r="B167" s="29"/>
      <c r="C167" s="28">
        <v>165</v>
      </c>
      <c r="D167" s="28" t="e">
        <f t="shared" si="2"/>
        <v>#N/A</v>
      </c>
    </row>
    <row r="168" spans="1:4" x14ac:dyDescent="0.25">
      <c r="A168" s="34">
        <f>IF(ISNUMBER(SEARCH(PLAN!$E$2,B168)),MAX(A$2:$A167)+1,0)</f>
        <v>0</v>
      </c>
      <c r="B168" s="29"/>
      <c r="C168" s="30">
        <v>166</v>
      </c>
      <c r="D168" s="28" t="e">
        <f t="shared" si="2"/>
        <v>#N/A</v>
      </c>
    </row>
    <row r="169" spans="1:4" x14ac:dyDescent="0.25">
      <c r="A169" s="34">
        <f>IF(ISNUMBER(SEARCH(PLAN!$E$2,B169)),MAX(A$2:$A168)+1,0)</f>
        <v>0</v>
      </c>
      <c r="B169" s="29"/>
      <c r="C169" s="28">
        <v>167</v>
      </c>
      <c r="D169" s="28" t="e">
        <f t="shared" si="2"/>
        <v>#N/A</v>
      </c>
    </row>
    <row r="170" spans="1:4" x14ac:dyDescent="0.25">
      <c r="A170" s="34">
        <f>IF(ISNUMBER(SEARCH(PLAN!$E$2,B170)),MAX(A$2:$A169)+1,0)</f>
        <v>0</v>
      </c>
      <c r="B170" s="29"/>
      <c r="C170" s="30">
        <v>168</v>
      </c>
      <c r="D170" s="28" t="e">
        <f t="shared" si="2"/>
        <v>#N/A</v>
      </c>
    </row>
    <row r="171" spans="1:4" x14ac:dyDescent="0.25">
      <c r="A171" s="34">
        <f>IF(ISNUMBER(SEARCH(PLAN!$E$2,B171)),MAX(A$2:$A170)+1,0)</f>
        <v>0</v>
      </c>
      <c r="B171" s="29"/>
      <c r="C171" s="28">
        <v>169</v>
      </c>
      <c r="D171" s="28" t="e">
        <f t="shared" si="2"/>
        <v>#N/A</v>
      </c>
    </row>
    <row r="172" spans="1:4" x14ac:dyDescent="0.25">
      <c r="A172" s="34">
        <f>IF(ISNUMBER(SEARCH(PLAN!$E$2,B172)),MAX(A$2:$A171)+1,0)</f>
        <v>0</v>
      </c>
      <c r="B172" s="29"/>
      <c r="C172" s="30">
        <v>170</v>
      </c>
      <c r="D172" s="28" t="e">
        <f t="shared" si="2"/>
        <v>#N/A</v>
      </c>
    </row>
    <row r="173" spans="1:4" x14ac:dyDescent="0.25">
      <c r="A173" s="34">
        <f>IF(ISNUMBER(SEARCH(PLAN!$E$2,B173)),MAX(A$2:$A172)+1,0)</f>
        <v>0</v>
      </c>
      <c r="B173" s="29"/>
      <c r="C173" s="28">
        <v>171</v>
      </c>
      <c r="D173" s="28" t="e">
        <f t="shared" si="2"/>
        <v>#N/A</v>
      </c>
    </row>
    <row r="174" spans="1:4" x14ac:dyDescent="0.25">
      <c r="A174" s="34">
        <f>IF(ISNUMBER(SEARCH(PLAN!$E$2,B174)),MAX(A$2:$A173)+1,0)</f>
        <v>0</v>
      </c>
      <c r="B174" s="29"/>
      <c r="C174" s="30">
        <v>172</v>
      </c>
      <c r="D174" s="28" t="e">
        <f t="shared" si="2"/>
        <v>#N/A</v>
      </c>
    </row>
    <row r="175" spans="1:4" x14ac:dyDescent="0.25">
      <c r="A175" s="34">
        <f>IF(ISNUMBER(SEARCH(PLAN!$E$2,B175)),MAX(A$2:$A174)+1,0)</f>
        <v>0</v>
      </c>
      <c r="B175" s="29"/>
      <c r="C175" s="28">
        <v>173</v>
      </c>
      <c r="D175" s="28" t="e">
        <f t="shared" si="2"/>
        <v>#N/A</v>
      </c>
    </row>
    <row r="176" spans="1:4" x14ac:dyDescent="0.25">
      <c r="A176" s="34">
        <f>IF(ISNUMBER(SEARCH(PLAN!$E$2,B176)),MAX(A$2:$A175)+1,0)</f>
        <v>0</v>
      </c>
      <c r="B176" s="29"/>
      <c r="C176" s="30">
        <v>174</v>
      </c>
      <c r="D176" s="28" t="e">
        <f t="shared" si="2"/>
        <v>#N/A</v>
      </c>
    </row>
    <row r="177" spans="1:4" x14ac:dyDescent="0.25">
      <c r="A177" s="34">
        <f>IF(ISNUMBER(SEARCH(PLAN!$E$2,B177)),MAX(A$2:$A176)+1,0)</f>
        <v>0</v>
      </c>
      <c r="B177" s="29"/>
      <c r="C177" s="28">
        <v>175</v>
      </c>
      <c r="D177" s="28" t="e">
        <f t="shared" si="2"/>
        <v>#N/A</v>
      </c>
    </row>
    <row r="178" spans="1:4" x14ac:dyDescent="0.25">
      <c r="A178" s="34">
        <f>IF(ISNUMBER(SEARCH(PLAN!$E$2,B178)),MAX(A$2:$A177)+1,0)</f>
        <v>0</v>
      </c>
      <c r="B178" s="29"/>
      <c r="C178" s="30">
        <v>176</v>
      </c>
      <c r="D178" s="28" t="e">
        <f t="shared" si="2"/>
        <v>#N/A</v>
      </c>
    </row>
    <row r="179" spans="1:4" x14ac:dyDescent="0.25">
      <c r="A179" s="34">
        <f>IF(ISNUMBER(SEARCH(PLAN!$E$2,B179)),MAX(A$2:$A178)+1,0)</f>
        <v>0</v>
      </c>
      <c r="B179" s="29"/>
      <c r="C179" s="28">
        <v>177</v>
      </c>
      <c r="D179" s="28" t="e">
        <f t="shared" si="2"/>
        <v>#N/A</v>
      </c>
    </row>
    <row r="180" spans="1:4" x14ac:dyDescent="0.25">
      <c r="A180" s="34">
        <f>IF(ISNUMBER(SEARCH(PLAN!$E$2,B180)),MAX(A$2:$A179)+1,0)</f>
        <v>0</v>
      </c>
      <c r="B180" s="29"/>
      <c r="C180" s="30">
        <v>178</v>
      </c>
      <c r="D180" s="28" t="e">
        <f t="shared" si="2"/>
        <v>#N/A</v>
      </c>
    </row>
    <row r="181" spans="1:4" x14ac:dyDescent="0.25">
      <c r="A181" s="34">
        <f>IF(ISNUMBER(SEARCH(PLAN!$E$2,B181)),MAX(A$2:$A180)+1,0)</f>
        <v>0</v>
      </c>
      <c r="B181" s="29"/>
      <c r="C181" s="28">
        <v>179</v>
      </c>
      <c r="D181" s="28" t="e">
        <f t="shared" si="2"/>
        <v>#N/A</v>
      </c>
    </row>
    <row r="182" spans="1:4" x14ac:dyDescent="0.25">
      <c r="A182" s="34">
        <f>IF(ISNUMBER(SEARCH(PLAN!$E$2,B182)),MAX(A$2:$A181)+1,0)</f>
        <v>0</v>
      </c>
      <c r="B182" s="33"/>
      <c r="C182" s="30">
        <v>180</v>
      </c>
      <c r="D182" s="28" t="e">
        <f t="shared" si="2"/>
        <v>#N/A</v>
      </c>
    </row>
    <row r="183" spans="1:4" x14ac:dyDescent="0.25">
      <c r="A183" s="34">
        <f>IF(ISNUMBER(SEARCH(PLAN!$E$2,B183)),MAX(A$2:$A182)+1,0)</f>
        <v>0</v>
      </c>
      <c r="B183" s="29"/>
      <c r="C183" s="28">
        <v>181</v>
      </c>
      <c r="D183" s="28" t="e">
        <f t="shared" si="2"/>
        <v>#N/A</v>
      </c>
    </row>
    <row r="184" spans="1:4" x14ac:dyDescent="0.25">
      <c r="A184" s="34">
        <f>IF(ISNUMBER(SEARCH(PLAN!$E$2,B184)),MAX(A$2:$A183)+1,0)</f>
        <v>0</v>
      </c>
      <c r="B184" s="29"/>
      <c r="C184" s="30">
        <v>182</v>
      </c>
      <c r="D184" s="28" t="e">
        <f t="shared" si="2"/>
        <v>#N/A</v>
      </c>
    </row>
    <row r="185" spans="1:4" x14ac:dyDescent="0.25">
      <c r="A185" s="34">
        <f>IF(ISNUMBER(SEARCH(PLAN!$E$2,B185)),MAX(A$2:$A184)+1,0)</f>
        <v>0</v>
      </c>
      <c r="B185" s="29"/>
      <c r="C185" s="28">
        <v>183</v>
      </c>
      <c r="D185" s="28" t="e">
        <f t="shared" si="2"/>
        <v>#N/A</v>
      </c>
    </row>
    <row r="186" spans="1:4" x14ac:dyDescent="0.25">
      <c r="A186" s="34">
        <f>IF(ISNUMBER(SEARCH(PLAN!$E$2,B186)),MAX(A$2:$A185)+1,0)</f>
        <v>0</v>
      </c>
      <c r="B186" s="29"/>
      <c r="C186" s="30">
        <v>184</v>
      </c>
      <c r="D186" s="28" t="e">
        <f t="shared" si="2"/>
        <v>#N/A</v>
      </c>
    </row>
    <row r="187" spans="1:4" x14ac:dyDescent="0.25">
      <c r="A187" s="34">
        <f>IF(ISNUMBER(SEARCH(PLAN!$E$2,B187)),MAX(A$2:$A186)+1,0)</f>
        <v>0</v>
      </c>
      <c r="B187" s="29"/>
      <c r="C187" s="28">
        <v>185</v>
      </c>
      <c r="D187" s="28" t="e">
        <f t="shared" si="2"/>
        <v>#N/A</v>
      </c>
    </row>
    <row r="188" spans="1:4" x14ac:dyDescent="0.25">
      <c r="A188" s="34">
        <f>IF(ISNUMBER(SEARCH(PLAN!$E$2,B188)),MAX(A$2:$A187)+1,0)</f>
        <v>0</v>
      </c>
      <c r="B188" s="29"/>
      <c r="C188" s="30">
        <v>186</v>
      </c>
      <c r="D188" s="28" t="e">
        <f t="shared" si="2"/>
        <v>#N/A</v>
      </c>
    </row>
    <row r="189" spans="1:4" x14ac:dyDescent="0.25">
      <c r="A189" s="34">
        <f>IF(ISNUMBER(SEARCH(PLAN!$E$2,B189)),MAX(A$2:$A188)+1,0)</f>
        <v>0</v>
      </c>
      <c r="B189" s="29"/>
      <c r="C189" s="28">
        <v>187</v>
      </c>
      <c r="D189" s="28" t="e">
        <f t="shared" si="2"/>
        <v>#N/A</v>
      </c>
    </row>
    <row r="190" spans="1:4" x14ac:dyDescent="0.25">
      <c r="A190" s="34">
        <f>IF(ISNUMBER(SEARCH(PLAN!$E$2,B190)),MAX(A$2:$A189)+1,0)</f>
        <v>0</v>
      </c>
      <c r="B190" s="29"/>
      <c r="C190" s="30">
        <v>188</v>
      </c>
      <c r="D190" s="28" t="e">
        <f t="shared" si="2"/>
        <v>#N/A</v>
      </c>
    </row>
    <row r="191" spans="1:4" x14ac:dyDescent="0.25">
      <c r="A191" s="34">
        <f>IF(ISNUMBER(SEARCH(PLAN!$E$2,B191)),MAX(A$2:$A190)+1,0)</f>
        <v>0</v>
      </c>
      <c r="B191" s="29"/>
      <c r="C191" s="28">
        <v>189</v>
      </c>
      <c r="D191" s="28" t="e">
        <f t="shared" si="2"/>
        <v>#N/A</v>
      </c>
    </row>
    <row r="192" spans="1:4" x14ac:dyDescent="0.25">
      <c r="A192" s="34">
        <f>IF(ISNUMBER(SEARCH(PLAN!$E$2,B192)),MAX(A$2:$A191)+1,0)</f>
        <v>0</v>
      </c>
      <c r="B192" s="29"/>
      <c r="C192" s="30">
        <v>190</v>
      </c>
      <c r="D192" s="28" t="e">
        <f t="shared" si="2"/>
        <v>#N/A</v>
      </c>
    </row>
    <row r="193" spans="1:4" x14ac:dyDescent="0.25">
      <c r="A193" s="34">
        <f>IF(ISNUMBER(SEARCH(PLAN!$E$2,B193)),MAX(A$2:$A192)+1,0)</f>
        <v>0</v>
      </c>
      <c r="B193" s="29"/>
      <c r="C193" s="28">
        <v>191</v>
      </c>
      <c r="D193" s="28" t="e">
        <f t="shared" si="2"/>
        <v>#N/A</v>
      </c>
    </row>
    <row r="194" spans="1:4" x14ac:dyDescent="0.25">
      <c r="A194" s="34">
        <f>IF(ISNUMBER(SEARCH(PLAN!$E$2,B194)),MAX(A$2:$A193)+1,0)</f>
        <v>0</v>
      </c>
      <c r="B194" s="29"/>
      <c r="C194" s="30">
        <v>192</v>
      </c>
      <c r="D194" s="28" t="e">
        <f t="shared" si="2"/>
        <v>#N/A</v>
      </c>
    </row>
    <row r="195" spans="1:4" x14ac:dyDescent="0.25">
      <c r="A195" s="34">
        <f>IF(ISNUMBER(SEARCH(PLAN!$E$2,B195)),MAX(A$2:$A194)+1,0)</f>
        <v>0</v>
      </c>
      <c r="B195" s="29"/>
      <c r="C195" s="28">
        <v>193</v>
      </c>
      <c r="D195" s="28" t="e">
        <f t="shared" ref="D195:D258" si="3">VLOOKUP(C195,A:B,2,0)</f>
        <v>#N/A</v>
      </c>
    </row>
    <row r="196" spans="1:4" x14ac:dyDescent="0.25">
      <c r="A196" s="34">
        <f>IF(ISNUMBER(SEARCH(PLAN!$E$2,B196)),MAX(A$2:$A195)+1,0)</f>
        <v>0</v>
      </c>
      <c r="B196" s="29"/>
      <c r="C196" s="30">
        <v>194</v>
      </c>
      <c r="D196" s="28" t="e">
        <f t="shared" si="3"/>
        <v>#N/A</v>
      </c>
    </row>
    <row r="197" spans="1:4" x14ac:dyDescent="0.25">
      <c r="A197" s="34">
        <f>IF(ISNUMBER(SEARCH(PLAN!$E$2,B197)),MAX(A$2:$A196)+1,0)</f>
        <v>0</v>
      </c>
      <c r="B197" s="29"/>
      <c r="C197" s="28">
        <v>195</v>
      </c>
      <c r="D197" s="28" t="e">
        <f t="shared" si="3"/>
        <v>#N/A</v>
      </c>
    </row>
    <row r="198" spans="1:4" x14ac:dyDescent="0.25">
      <c r="A198" s="34">
        <f>IF(ISNUMBER(SEARCH(PLAN!$E$2,B198)),MAX(A$2:$A197)+1,0)</f>
        <v>0</v>
      </c>
      <c r="B198" s="29"/>
      <c r="C198" s="30">
        <v>196</v>
      </c>
      <c r="D198" s="28" t="e">
        <f t="shared" si="3"/>
        <v>#N/A</v>
      </c>
    </row>
    <row r="199" spans="1:4" x14ac:dyDescent="0.25">
      <c r="A199" s="34">
        <f>IF(ISNUMBER(SEARCH(PLAN!$E$2,B199)),MAX(A$2:$A198)+1,0)</f>
        <v>0</v>
      </c>
      <c r="B199" s="29"/>
      <c r="C199" s="28">
        <v>197</v>
      </c>
      <c r="D199" s="28" t="e">
        <f t="shared" si="3"/>
        <v>#N/A</v>
      </c>
    </row>
    <row r="200" spans="1:4" x14ac:dyDescent="0.25">
      <c r="A200" s="34">
        <f>IF(ISNUMBER(SEARCH(PLAN!$E$2,B200)),MAX(A$2:$A199)+1,0)</f>
        <v>0</v>
      </c>
      <c r="B200" s="29"/>
      <c r="C200" s="30">
        <v>198</v>
      </c>
      <c r="D200" s="28" t="e">
        <f t="shared" si="3"/>
        <v>#N/A</v>
      </c>
    </row>
    <row r="201" spans="1:4" x14ac:dyDescent="0.25">
      <c r="A201" s="34">
        <f>IF(ISNUMBER(SEARCH(PLAN!$E$2,B201)),MAX(A$2:$A200)+1,0)</f>
        <v>0</v>
      </c>
      <c r="B201" s="29"/>
      <c r="C201" s="28">
        <v>199</v>
      </c>
      <c r="D201" s="28" t="e">
        <f t="shared" si="3"/>
        <v>#N/A</v>
      </c>
    </row>
    <row r="202" spans="1:4" x14ac:dyDescent="0.25">
      <c r="A202" s="34">
        <f>IF(ISNUMBER(SEARCH(PLAN!$E$2,B202)),MAX(A$2:$A201)+1,0)</f>
        <v>0</v>
      </c>
      <c r="B202" s="29"/>
      <c r="C202" s="30">
        <v>200</v>
      </c>
      <c r="D202" s="28" t="e">
        <f t="shared" si="3"/>
        <v>#N/A</v>
      </c>
    </row>
    <row r="203" spans="1:4" x14ac:dyDescent="0.25">
      <c r="A203" s="34">
        <f>IF(ISNUMBER(SEARCH(PLAN!$E$2,B203)),MAX(A$2:$A202)+1,0)</f>
        <v>0</v>
      </c>
      <c r="B203" s="29"/>
      <c r="C203" s="28">
        <v>201</v>
      </c>
      <c r="D203" s="28" t="e">
        <f t="shared" si="3"/>
        <v>#N/A</v>
      </c>
    </row>
    <row r="204" spans="1:4" x14ac:dyDescent="0.25">
      <c r="A204" s="34">
        <f>IF(ISNUMBER(SEARCH(PLAN!$E$2,B204)),MAX(A$2:$A203)+1,0)</f>
        <v>0</v>
      </c>
      <c r="B204" s="29"/>
      <c r="C204" s="30">
        <v>202</v>
      </c>
      <c r="D204" s="28" t="e">
        <f t="shared" si="3"/>
        <v>#N/A</v>
      </c>
    </row>
    <row r="205" spans="1:4" x14ac:dyDescent="0.25">
      <c r="A205" s="34">
        <f>IF(ISNUMBER(SEARCH(PLAN!$E$2,B205)),MAX(A$2:$A204)+1,0)</f>
        <v>0</v>
      </c>
      <c r="B205" s="29"/>
      <c r="C205" s="28">
        <v>203</v>
      </c>
      <c r="D205" s="28" t="e">
        <f t="shared" si="3"/>
        <v>#N/A</v>
      </c>
    </row>
    <row r="206" spans="1:4" x14ac:dyDescent="0.25">
      <c r="A206" s="34">
        <f>IF(ISNUMBER(SEARCH(PLAN!$E$2,B206)),MAX(A$2:$A205)+1,0)</f>
        <v>0</v>
      </c>
      <c r="B206" s="29"/>
      <c r="C206" s="30">
        <v>204</v>
      </c>
      <c r="D206" s="28" t="e">
        <f t="shared" si="3"/>
        <v>#N/A</v>
      </c>
    </row>
    <row r="207" spans="1:4" x14ac:dyDescent="0.25">
      <c r="A207" s="34">
        <f>IF(ISNUMBER(SEARCH(PLAN!$E$2,B207)),MAX(A$2:$A206)+1,0)</f>
        <v>0</v>
      </c>
      <c r="B207" s="29"/>
      <c r="C207" s="28">
        <v>205</v>
      </c>
      <c r="D207" s="28" t="e">
        <f t="shared" si="3"/>
        <v>#N/A</v>
      </c>
    </row>
    <row r="208" spans="1:4" x14ac:dyDescent="0.25">
      <c r="A208" s="34">
        <f>IF(ISNUMBER(SEARCH(PLAN!$E$2,B208)),MAX(A$2:$A207)+1,0)</f>
        <v>0</v>
      </c>
      <c r="B208" s="29"/>
      <c r="C208" s="30">
        <v>206</v>
      </c>
      <c r="D208" s="28" t="e">
        <f t="shared" si="3"/>
        <v>#N/A</v>
      </c>
    </row>
    <row r="209" spans="1:4" x14ac:dyDescent="0.25">
      <c r="A209" s="34">
        <f>IF(ISNUMBER(SEARCH(PLAN!$E$2,B209)),MAX(A$2:$A208)+1,0)</f>
        <v>0</v>
      </c>
      <c r="B209" s="29"/>
      <c r="C209" s="28">
        <v>207</v>
      </c>
      <c r="D209" s="28" t="e">
        <f t="shared" si="3"/>
        <v>#N/A</v>
      </c>
    </row>
    <row r="210" spans="1:4" x14ac:dyDescent="0.25">
      <c r="A210" s="34">
        <f>IF(ISNUMBER(SEARCH(PLAN!$E$2,B210)),MAX(A$2:$A209)+1,0)</f>
        <v>0</v>
      </c>
      <c r="B210" s="29"/>
      <c r="C210" s="30">
        <v>208</v>
      </c>
      <c r="D210" s="28" t="e">
        <f t="shared" si="3"/>
        <v>#N/A</v>
      </c>
    </row>
    <row r="211" spans="1:4" x14ac:dyDescent="0.25">
      <c r="A211" s="34">
        <f>IF(ISNUMBER(SEARCH(PLAN!$E$2,B211)),MAX(A$2:$A210)+1,0)</f>
        <v>0</v>
      </c>
      <c r="B211" s="29"/>
      <c r="C211" s="28">
        <v>209</v>
      </c>
      <c r="D211" s="28" t="e">
        <f t="shared" si="3"/>
        <v>#N/A</v>
      </c>
    </row>
    <row r="212" spans="1:4" x14ac:dyDescent="0.25">
      <c r="A212" s="34">
        <f>IF(ISNUMBER(SEARCH(PLAN!$E$2,B212)),MAX(A$2:$A211)+1,0)</f>
        <v>0</v>
      </c>
      <c r="B212" s="29"/>
      <c r="C212" s="30">
        <v>210</v>
      </c>
      <c r="D212" s="28" t="e">
        <f t="shared" si="3"/>
        <v>#N/A</v>
      </c>
    </row>
    <row r="213" spans="1:4" x14ac:dyDescent="0.25">
      <c r="A213" s="34">
        <f>IF(ISNUMBER(SEARCH(PLAN!$E$2,B213)),MAX(A$2:$A212)+1,0)</f>
        <v>0</v>
      </c>
      <c r="B213" s="29"/>
      <c r="C213" s="28">
        <v>211</v>
      </c>
      <c r="D213" s="28" t="e">
        <f t="shared" si="3"/>
        <v>#N/A</v>
      </c>
    </row>
    <row r="214" spans="1:4" x14ac:dyDescent="0.25">
      <c r="A214" s="34">
        <f>IF(ISNUMBER(SEARCH(PLAN!$E$2,B214)),MAX(A$2:$A213)+1,0)</f>
        <v>0</v>
      </c>
      <c r="B214" s="29"/>
      <c r="C214" s="30">
        <v>212</v>
      </c>
      <c r="D214" s="28" t="e">
        <f t="shared" si="3"/>
        <v>#N/A</v>
      </c>
    </row>
    <row r="215" spans="1:4" x14ac:dyDescent="0.25">
      <c r="A215" s="34">
        <f>IF(ISNUMBER(SEARCH(PLAN!$E$2,B215)),MAX(A$2:$A214)+1,0)</f>
        <v>0</v>
      </c>
      <c r="B215" s="29"/>
      <c r="C215" s="28">
        <v>213</v>
      </c>
      <c r="D215" s="28" t="e">
        <f t="shared" si="3"/>
        <v>#N/A</v>
      </c>
    </row>
    <row r="216" spans="1:4" x14ac:dyDescent="0.25">
      <c r="A216" s="34">
        <f>IF(ISNUMBER(SEARCH(PLAN!$E$2,B216)),MAX(A$2:$A215)+1,0)</f>
        <v>0</v>
      </c>
      <c r="B216" s="29"/>
      <c r="C216" s="30">
        <v>214</v>
      </c>
      <c r="D216" s="28" t="e">
        <f t="shared" si="3"/>
        <v>#N/A</v>
      </c>
    </row>
    <row r="217" spans="1:4" x14ac:dyDescent="0.25">
      <c r="A217" s="34">
        <f>IF(ISNUMBER(SEARCH(PLAN!$E$2,B217)),MAX(A$2:$A216)+1,0)</f>
        <v>0</v>
      </c>
      <c r="B217" s="29"/>
      <c r="C217" s="28">
        <v>215</v>
      </c>
      <c r="D217" s="28" t="e">
        <f t="shared" si="3"/>
        <v>#N/A</v>
      </c>
    </row>
    <row r="218" spans="1:4" x14ac:dyDescent="0.25">
      <c r="A218" s="34">
        <f>IF(ISNUMBER(SEARCH(PLAN!$E$2,B218)),MAX(A$2:$A217)+1,0)</f>
        <v>0</v>
      </c>
      <c r="B218" s="29"/>
      <c r="C218" s="30">
        <v>216</v>
      </c>
      <c r="D218" s="28" t="e">
        <f t="shared" si="3"/>
        <v>#N/A</v>
      </c>
    </row>
    <row r="219" spans="1:4" x14ac:dyDescent="0.25">
      <c r="A219" s="34">
        <f>IF(ISNUMBER(SEARCH(PLAN!$E$2,B219)),MAX(A$2:$A218)+1,0)</f>
        <v>0</v>
      </c>
      <c r="B219" s="29"/>
      <c r="C219" s="28">
        <v>217</v>
      </c>
      <c r="D219" s="28" t="e">
        <f t="shared" si="3"/>
        <v>#N/A</v>
      </c>
    </row>
    <row r="220" spans="1:4" x14ac:dyDescent="0.25">
      <c r="A220" s="34">
        <f>IF(ISNUMBER(SEARCH(PLAN!$E$2,B220)),MAX(A$2:$A219)+1,0)</f>
        <v>0</v>
      </c>
      <c r="B220" s="29"/>
      <c r="C220" s="30">
        <v>218</v>
      </c>
      <c r="D220" s="28" t="e">
        <f t="shared" si="3"/>
        <v>#N/A</v>
      </c>
    </row>
    <row r="221" spans="1:4" x14ac:dyDescent="0.25">
      <c r="A221" s="34">
        <f>IF(ISNUMBER(SEARCH(PLAN!$E$2,B221)),MAX(A$2:$A220)+1,0)</f>
        <v>0</v>
      </c>
      <c r="B221" s="29"/>
      <c r="C221" s="28">
        <v>219</v>
      </c>
      <c r="D221" s="28" t="e">
        <f t="shared" si="3"/>
        <v>#N/A</v>
      </c>
    </row>
    <row r="222" spans="1:4" x14ac:dyDescent="0.25">
      <c r="A222" s="34">
        <f>IF(ISNUMBER(SEARCH(PLAN!$E$2,B222)),MAX(A$2:$A221)+1,0)</f>
        <v>0</v>
      </c>
      <c r="B222" s="29"/>
      <c r="C222" s="30">
        <v>220</v>
      </c>
      <c r="D222" s="28" t="e">
        <f t="shared" si="3"/>
        <v>#N/A</v>
      </c>
    </row>
    <row r="223" spans="1:4" x14ac:dyDescent="0.25">
      <c r="A223" s="34">
        <f>IF(ISNUMBER(SEARCH(PLAN!$E$2,B223)),MAX(A$2:$A222)+1,0)</f>
        <v>0</v>
      </c>
      <c r="B223" s="29"/>
      <c r="C223" s="28">
        <v>221</v>
      </c>
      <c r="D223" s="28" t="e">
        <f t="shared" si="3"/>
        <v>#N/A</v>
      </c>
    </row>
    <row r="224" spans="1:4" x14ac:dyDescent="0.25">
      <c r="A224" s="34">
        <f>IF(ISNUMBER(SEARCH(PLAN!$E$2,B224)),MAX(A$2:$A223)+1,0)</f>
        <v>0</v>
      </c>
      <c r="B224" s="29"/>
      <c r="C224" s="30">
        <v>222</v>
      </c>
      <c r="D224" s="28" t="e">
        <f t="shared" si="3"/>
        <v>#N/A</v>
      </c>
    </row>
    <row r="225" spans="1:4" x14ac:dyDescent="0.25">
      <c r="A225" s="34">
        <f>IF(ISNUMBER(SEARCH(PLAN!$E$2,B225)),MAX(A$2:$A224)+1,0)</f>
        <v>0</v>
      </c>
      <c r="B225" s="29"/>
      <c r="C225" s="28">
        <v>223</v>
      </c>
      <c r="D225" s="28" t="e">
        <f t="shared" si="3"/>
        <v>#N/A</v>
      </c>
    </row>
    <row r="226" spans="1:4" x14ac:dyDescent="0.25">
      <c r="A226" s="34">
        <f>IF(ISNUMBER(SEARCH(PLAN!$E$2,B226)),MAX(A$2:$A225)+1,0)</f>
        <v>0</v>
      </c>
      <c r="B226" s="29"/>
      <c r="C226" s="30">
        <v>224</v>
      </c>
      <c r="D226" s="28" t="e">
        <f t="shared" si="3"/>
        <v>#N/A</v>
      </c>
    </row>
    <row r="227" spans="1:4" x14ac:dyDescent="0.25">
      <c r="A227" s="34">
        <f>IF(ISNUMBER(SEARCH(PLAN!$E$2,B227)),MAX(A$2:$A226)+1,0)</f>
        <v>0</v>
      </c>
      <c r="B227" s="29"/>
      <c r="C227" s="28">
        <v>225</v>
      </c>
      <c r="D227" s="28" t="e">
        <f t="shared" si="3"/>
        <v>#N/A</v>
      </c>
    </row>
    <row r="228" spans="1:4" x14ac:dyDescent="0.25">
      <c r="A228" s="34">
        <f>IF(ISNUMBER(SEARCH(PLAN!$E$2,B228)),MAX(A$2:$A227)+1,0)</f>
        <v>0</v>
      </c>
      <c r="B228" s="29"/>
      <c r="C228" s="30">
        <v>226</v>
      </c>
      <c r="D228" s="28" t="e">
        <f t="shared" si="3"/>
        <v>#N/A</v>
      </c>
    </row>
    <row r="229" spans="1:4" x14ac:dyDescent="0.25">
      <c r="A229" s="34">
        <f>IF(ISNUMBER(SEARCH(PLAN!$E$2,B229)),MAX(A$2:$A228)+1,0)</f>
        <v>0</v>
      </c>
      <c r="B229" s="29"/>
      <c r="C229" s="28">
        <v>227</v>
      </c>
      <c r="D229" s="28" t="e">
        <f t="shared" si="3"/>
        <v>#N/A</v>
      </c>
    </row>
    <row r="230" spans="1:4" x14ac:dyDescent="0.25">
      <c r="A230" s="34">
        <f>IF(ISNUMBER(SEARCH(PLAN!$E$2,B230)),MAX(A$2:$A229)+1,0)</f>
        <v>0</v>
      </c>
      <c r="B230" s="29"/>
      <c r="C230" s="30">
        <v>228</v>
      </c>
      <c r="D230" s="28" t="e">
        <f t="shared" si="3"/>
        <v>#N/A</v>
      </c>
    </row>
    <row r="231" spans="1:4" x14ac:dyDescent="0.25">
      <c r="A231" s="34">
        <f>IF(ISNUMBER(SEARCH(PLAN!$E$2,B231)),MAX(A$2:$A230)+1,0)</f>
        <v>0</v>
      </c>
      <c r="B231" s="29"/>
      <c r="C231" s="28">
        <v>229</v>
      </c>
      <c r="D231" s="28" t="e">
        <f t="shared" si="3"/>
        <v>#N/A</v>
      </c>
    </row>
    <row r="232" spans="1:4" x14ac:dyDescent="0.25">
      <c r="A232" s="34">
        <f>IF(ISNUMBER(SEARCH(PLAN!$E$2,B232)),MAX(A$2:$A231)+1,0)</f>
        <v>0</v>
      </c>
      <c r="B232" s="29"/>
      <c r="C232" s="30">
        <v>230</v>
      </c>
      <c r="D232" s="28" t="e">
        <f t="shared" si="3"/>
        <v>#N/A</v>
      </c>
    </row>
    <row r="233" spans="1:4" x14ac:dyDescent="0.25">
      <c r="A233" s="34">
        <f>IF(ISNUMBER(SEARCH(PLAN!$E$2,B233)),MAX(A$2:$A232)+1,0)</f>
        <v>0</v>
      </c>
      <c r="B233" s="29"/>
      <c r="C233" s="28">
        <v>231</v>
      </c>
      <c r="D233" s="28" t="e">
        <f t="shared" si="3"/>
        <v>#N/A</v>
      </c>
    </row>
    <row r="234" spans="1:4" x14ac:dyDescent="0.25">
      <c r="A234" s="34">
        <f>IF(ISNUMBER(SEARCH(PLAN!$E$2,B234)),MAX(A$2:$A233)+1,0)</f>
        <v>0</v>
      </c>
      <c r="B234" s="29"/>
      <c r="C234" s="30">
        <v>232</v>
      </c>
      <c r="D234" s="28" t="e">
        <f t="shared" si="3"/>
        <v>#N/A</v>
      </c>
    </row>
    <row r="235" spans="1:4" x14ac:dyDescent="0.25">
      <c r="A235" s="34">
        <f>IF(ISNUMBER(SEARCH(PLAN!$E$2,B235)),MAX(A$2:$A234)+1,0)</f>
        <v>0</v>
      </c>
      <c r="B235" s="29"/>
      <c r="C235" s="28">
        <v>233</v>
      </c>
      <c r="D235" s="28" t="e">
        <f t="shared" si="3"/>
        <v>#N/A</v>
      </c>
    </row>
    <row r="236" spans="1:4" x14ac:dyDescent="0.25">
      <c r="A236" s="34">
        <f>IF(ISNUMBER(SEARCH(PLAN!$E$2,B236)),MAX(A$2:$A235)+1,0)</f>
        <v>0</v>
      </c>
      <c r="B236" s="29"/>
      <c r="C236" s="30">
        <v>234</v>
      </c>
      <c r="D236" s="28" t="e">
        <f t="shared" si="3"/>
        <v>#N/A</v>
      </c>
    </row>
    <row r="237" spans="1:4" x14ac:dyDescent="0.25">
      <c r="A237" s="34">
        <f>IF(ISNUMBER(SEARCH(PLAN!$E$2,B237)),MAX(A$2:$A236)+1,0)</f>
        <v>0</v>
      </c>
      <c r="B237" s="29"/>
      <c r="C237" s="28">
        <v>235</v>
      </c>
      <c r="D237" s="28" t="e">
        <f t="shared" si="3"/>
        <v>#N/A</v>
      </c>
    </row>
    <row r="238" spans="1:4" x14ac:dyDescent="0.25">
      <c r="A238" s="34">
        <f>IF(ISNUMBER(SEARCH(PLAN!$E$2,B238)),MAX(A$2:$A237)+1,0)</f>
        <v>0</v>
      </c>
      <c r="B238" s="29"/>
      <c r="C238" s="30">
        <v>236</v>
      </c>
      <c r="D238" s="28" t="e">
        <f t="shared" si="3"/>
        <v>#N/A</v>
      </c>
    </row>
    <row r="239" spans="1:4" x14ac:dyDescent="0.25">
      <c r="A239" s="34">
        <f>IF(ISNUMBER(SEARCH(PLAN!$E$2,B239)),MAX(A$2:$A238)+1,0)</f>
        <v>0</v>
      </c>
      <c r="B239" s="29"/>
      <c r="C239" s="28">
        <v>237</v>
      </c>
      <c r="D239" s="28" t="e">
        <f t="shared" si="3"/>
        <v>#N/A</v>
      </c>
    </row>
    <row r="240" spans="1:4" x14ac:dyDescent="0.25">
      <c r="A240" s="34">
        <f>IF(ISNUMBER(SEARCH(PLAN!$E$2,B240)),MAX(A$2:$A239)+1,0)</f>
        <v>0</v>
      </c>
      <c r="B240" s="29"/>
      <c r="C240" s="30">
        <v>238</v>
      </c>
      <c r="D240" s="28" t="e">
        <f t="shared" si="3"/>
        <v>#N/A</v>
      </c>
    </row>
    <row r="241" spans="1:4" x14ac:dyDescent="0.25">
      <c r="A241" s="34">
        <f>IF(ISNUMBER(SEARCH(PLAN!$E$2,B241)),MAX(A$2:$A240)+1,0)</f>
        <v>0</v>
      </c>
      <c r="B241" s="29"/>
      <c r="C241" s="28">
        <v>239</v>
      </c>
      <c r="D241" s="28" t="e">
        <f t="shared" si="3"/>
        <v>#N/A</v>
      </c>
    </row>
    <row r="242" spans="1:4" x14ac:dyDescent="0.25">
      <c r="A242" s="34">
        <f>IF(ISNUMBER(SEARCH(PLAN!$E$2,B242)),MAX(A$2:$A241)+1,0)</f>
        <v>0</v>
      </c>
      <c r="B242" s="29"/>
      <c r="C242" s="30">
        <v>240</v>
      </c>
      <c r="D242" s="28" t="e">
        <f t="shared" si="3"/>
        <v>#N/A</v>
      </c>
    </row>
    <row r="243" spans="1:4" x14ac:dyDescent="0.25">
      <c r="A243" s="34">
        <f>IF(ISNUMBER(SEARCH(PLAN!$E$2,B243)),MAX(A$2:$A242)+1,0)</f>
        <v>0</v>
      </c>
      <c r="B243" s="29"/>
      <c r="C243" s="28">
        <v>241</v>
      </c>
      <c r="D243" s="28" t="e">
        <f t="shared" si="3"/>
        <v>#N/A</v>
      </c>
    </row>
    <row r="244" spans="1:4" x14ac:dyDescent="0.25">
      <c r="A244" s="34">
        <f>IF(ISNUMBER(SEARCH(PLAN!$E$2,B244)),MAX(A$2:$A243)+1,0)</f>
        <v>0</v>
      </c>
      <c r="B244" s="29"/>
      <c r="C244" s="30">
        <v>242</v>
      </c>
      <c r="D244" s="28" t="e">
        <f t="shared" si="3"/>
        <v>#N/A</v>
      </c>
    </row>
    <row r="245" spans="1:4" x14ac:dyDescent="0.25">
      <c r="A245" s="34">
        <f>IF(ISNUMBER(SEARCH(PLAN!$E$2,B245)),MAX(A$2:$A244)+1,0)</f>
        <v>0</v>
      </c>
      <c r="B245" s="29"/>
      <c r="C245" s="28">
        <v>243</v>
      </c>
      <c r="D245" s="28" t="e">
        <f t="shared" si="3"/>
        <v>#N/A</v>
      </c>
    </row>
    <row r="246" spans="1:4" x14ac:dyDescent="0.25">
      <c r="A246" s="34">
        <f>IF(ISNUMBER(SEARCH(PLAN!$E$2,B246)),MAX(A$2:$A245)+1,0)</f>
        <v>0</v>
      </c>
      <c r="B246" s="29"/>
      <c r="C246" s="30">
        <v>244</v>
      </c>
      <c r="D246" s="28" t="e">
        <f t="shared" si="3"/>
        <v>#N/A</v>
      </c>
    </row>
    <row r="247" spans="1:4" x14ac:dyDescent="0.25">
      <c r="A247" s="34">
        <f>IF(ISNUMBER(SEARCH(PLAN!$E$2,B247)),MAX(A$2:$A246)+1,0)</f>
        <v>0</v>
      </c>
      <c r="B247" s="29"/>
      <c r="C247" s="28">
        <v>245</v>
      </c>
      <c r="D247" s="28" t="e">
        <f t="shared" si="3"/>
        <v>#N/A</v>
      </c>
    </row>
    <row r="248" spans="1:4" x14ac:dyDescent="0.25">
      <c r="A248" s="34">
        <f>IF(ISNUMBER(SEARCH(PLAN!$E$2,B248)),MAX(A$2:$A247)+1,0)</f>
        <v>0</v>
      </c>
      <c r="B248" s="29"/>
      <c r="C248" s="30">
        <v>246</v>
      </c>
      <c r="D248" s="28" t="e">
        <f t="shared" si="3"/>
        <v>#N/A</v>
      </c>
    </row>
    <row r="249" spans="1:4" x14ac:dyDescent="0.25">
      <c r="A249" s="34">
        <f>IF(ISNUMBER(SEARCH(PLAN!$E$2,B249)),MAX(A$2:$A248)+1,0)</f>
        <v>0</v>
      </c>
      <c r="B249" s="29"/>
      <c r="C249" s="28">
        <v>247</v>
      </c>
      <c r="D249" s="28" t="e">
        <f t="shared" si="3"/>
        <v>#N/A</v>
      </c>
    </row>
    <row r="250" spans="1:4" x14ac:dyDescent="0.25">
      <c r="A250" s="34">
        <f>IF(ISNUMBER(SEARCH(PLAN!$E$2,B250)),MAX(A$2:$A249)+1,0)</f>
        <v>0</v>
      </c>
      <c r="B250" s="29"/>
      <c r="C250" s="30">
        <v>248</v>
      </c>
      <c r="D250" s="28" t="e">
        <f t="shared" si="3"/>
        <v>#N/A</v>
      </c>
    </row>
    <row r="251" spans="1:4" x14ac:dyDescent="0.25">
      <c r="A251" s="34">
        <f>IF(ISNUMBER(SEARCH(PLAN!$E$2,B251)),MAX(A$2:$A250)+1,0)</f>
        <v>0</v>
      </c>
      <c r="B251" s="29"/>
      <c r="C251" s="28">
        <v>249</v>
      </c>
      <c r="D251" s="28" t="e">
        <f t="shared" si="3"/>
        <v>#N/A</v>
      </c>
    </row>
    <row r="252" spans="1:4" x14ac:dyDescent="0.25">
      <c r="A252" s="34">
        <f>IF(ISNUMBER(SEARCH(PLAN!$E$2,B252)),MAX(A$2:$A251)+1,0)</f>
        <v>0</v>
      </c>
      <c r="B252" s="29"/>
      <c r="C252" s="30">
        <v>250</v>
      </c>
      <c r="D252" s="28" t="e">
        <f t="shared" si="3"/>
        <v>#N/A</v>
      </c>
    </row>
    <row r="253" spans="1:4" x14ac:dyDescent="0.25">
      <c r="A253" s="34">
        <f>IF(ISNUMBER(SEARCH(PLAN!$E$2,B253)),MAX(A$2:$A252)+1,0)</f>
        <v>0</v>
      </c>
      <c r="B253" s="29"/>
      <c r="C253" s="28">
        <v>251</v>
      </c>
      <c r="D253" s="28" t="e">
        <f t="shared" si="3"/>
        <v>#N/A</v>
      </c>
    </row>
    <row r="254" spans="1:4" x14ac:dyDescent="0.25">
      <c r="A254" s="34">
        <f>IF(ISNUMBER(SEARCH(PLAN!$E$2,B254)),MAX(A$2:$A253)+1,0)</f>
        <v>0</v>
      </c>
      <c r="B254" s="29"/>
      <c r="C254" s="30">
        <v>252</v>
      </c>
      <c r="D254" s="28" t="e">
        <f t="shared" si="3"/>
        <v>#N/A</v>
      </c>
    </row>
    <row r="255" spans="1:4" x14ac:dyDescent="0.25">
      <c r="A255" s="34">
        <f>IF(ISNUMBER(SEARCH(PLAN!$E$2,B255)),MAX(A$2:$A254)+1,0)</f>
        <v>0</v>
      </c>
      <c r="B255" s="29"/>
      <c r="C255" s="28">
        <v>253</v>
      </c>
      <c r="D255" s="28" t="e">
        <f t="shared" si="3"/>
        <v>#N/A</v>
      </c>
    </row>
    <row r="256" spans="1:4" x14ac:dyDescent="0.25">
      <c r="A256" s="34">
        <f>IF(ISNUMBER(SEARCH(PLAN!$E$2,B256)),MAX(A$2:$A255)+1,0)</f>
        <v>0</v>
      </c>
      <c r="B256" s="29"/>
      <c r="C256" s="30">
        <v>254</v>
      </c>
      <c r="D256" s="28" t="e">
        <f t="shared" si="3"/>
        <v>#N/A</v>
      </c>
    </row>
    <row r="257" spans="1:4" x14ac:dyDescent="0.25">
      <c r="A257" s="34">
        <f>IF(ISNUMBER(SEARCH(PLAN!$E$2,B257)),MAX(A$2:$A256)+1,0)</f>
        <v>0</v>
      </c>
      <c r="B257" s="29"/>
      <c r="C257" s="28">
        <v>255</v>
      </c>
      <c r="D257" s="28" t="e">
        <f t="shared" si="3"/>
        <v>#N/A</v>
      </c>
    </row>
    <row r="258" spans="1:4" x14ac:dyDescent="0.25">
      <c r="A258" s="34">
        <f>IF(ISNUMBER(SEARCH(PLAN!$E$2,B258)),MAX(A$2:$A257)+1,0)</f>
        <v>0</v>
      </c>
      <c r="B258" s="29"/>
      <c r="C258" s="30">
        <v>256</v>
      </c>
      <c r="D258" s="28" t="e">
        <f t="shared" si="3"/>
        <v>#N/A</v>
      </c>
    </row>
    <row r="259" spans="1:4" x14ac:dyDescent="0.25">
      <c r="A259" s="34">
        <f>IF(ISNUMBER(SEARCH(PLAN!$E$2,B259)),MAX(A$2:$A258)+1,0)</f>
        <v>0</v>
      </c>
      <c r="B259" s="29"/>
      <c r="C259" s="28">
        <v>257</v>
      </c>
      <c r="D259" s="28" t="e">
        <f t="shared" ref="D259:D322" si="4">VLOOKUP(C259,A:B,2,0)</f>
        <v>#N/A</v>
      </c>
    </row>
    <row r="260" spans="1:4" x14ac:dyDescent="0.25">
      <c r="A260" s="34">
        <f>IF(ISNUMBER(SEARCH(PLAN!$E$2,B260)),MAX(A$2:$A259)+1,0)</f>
        <v>0</v>
      </c>
      <c r="B260" s="29"/>
      <c r="C260" s="30">
        <v>258</v>
      </c>
      <c r="D260" s="28" t="e">
        <f t="shared" si="4"/>
        <v>#N/A</v>
      </c>
    </row>
    <row r="261" spans="1:4" x14ac:dyDescent="0.25">
      <c r="A261" s="34">
        <f>IF(ISNUMBER(SEARCH(PLAN!$E$2,B261)),MAX(A$2:$A260)+1,0)</f>
        <v>0</v>
      </c>
      <c r="B261" s="29"/>
      <c r="C261" s="28">
        <v>259</v>
      </c>
      <c r="D261" s="28" t="e">
        <f t="shared" si="4"/>
        <v>#N/A</v>
      </c>
    </row>
    <row r="262" spans="1:4" x14ac:dyDescent="0.25">
      <c r="A262" s="34">
        <f>IF(ISNUMBER(SEARCH(PLAN!$E$2,B262)),MAX(A$2:$A261)+1,0)</f>
        <v>0</v>
      </c>
      <c r="B262" s="29"/>
      <c r="C262" s="30">
        <v>260</v>
      </c>
      <c r="D262" s="28" t="e">
        <f t="shared" si="4"/>
        <v>#N/A</v>
      </c>
    </row>
    <row r="263" spans="1:4" x14ac:dyDescent="0.25">
      <c r="A263" s="34">
        <f>IF(ISNUMBER(SEARCH(PLAN!$E$2,B263)),MAX(A$2:$A262)+1,0)</f>
        <v>0</v>
      </c>
      <c r="B263" s="29"/>
      <c r="C263" s="28">
        <v>261</v>
      </c>
      <c r="D263" s="28" t="e">
        <f t="shared" si="4"/>
        <v>#N/A</v>
      </c>
    </row>
    <row r="264" spans="1:4" x14ac:dyDescent="0.25">
      <c r="A264" s="34">
        <f>IF(ISNUMBER(SEARCH(PLAN!$E$2,B264)),MAX(A$2:$A263)+1,0)</f>
        <v>0</v>
      </c>
      <c r="B264" s="29"/>
      <c r="C264" s="30">
        <v>262</v>
      </c>
      <c r="D264" s="28" t="e">
        <f t="shared" si="4"/>
        <v>#N/A</v>
      </c>
    </row>
    <row r="265" spans="1:4" x14ac:dyDescent="0.25">
      <c r="A265" s="34">
        <f>IF(ISNUMBER(SEARCH(PLAN!$E$2,B265)),MAX(A$2:$A264)+1,0)</f>
        <v>0</v>
      </c>
      <c r="B265" s="29"/>
      <c r="C265" s="28">
        <v>263</v>
      </c>
      <c r="D265" s="28" t="e">
        <f t="shared" si="4"/>
        <v>#N/A</v>
      </c>
    </row>
    <row r="266" spans="1:4" x14ac:dyDescent="0.25">
      <c r="A266" s="34">
        <f>IF(ISNUMBER(SEARCH(PLAN!$E$2,B266)),MAX(A$2:$A265)+1,0)</f>
        <v>0</v>
      </c>
      <c r="B266" s="29"/>
      <c r="C266" s="30">
        <v>264</v>
      </c>
      <c r="D266" s="28" t="e">
        <f t="shared" si="4"/>
        <v>#N/A</v>
      </c>
    </row>
    <row r="267" spans="1:4" x14ac:dyDescent="0.25">
      <c r="A267" s="34">
        <f>IF(ISNUMBER(SEARCH(PLAN!$E$2,B267)),MAX(A$2:$A266)+1,0)</f>
        <v>0</v>
      </c>
      <c r="B267" s="29"/>
      <c r="C267" s="28">
        <v>265</v>
      </c>
      <c r="D267" s="28" t="e">
        <f t="shared" si="4"/>
        <v>#N/A</v>
      </c>
    </row>
    <row r="268" spans="1:4" x14ac:dyDescent="0.25">
      <c r="A268" s="34">
        <f>IF(ISNUMBER(SEARCH(PLAN!$E$2,B268)),MAX(A$2:$A267)+1,0)</f>
        <v>0</v>
      </c>
      <c r="B268" s="29"/>
      <c r="C268" s="30">
        <v>266</v>
      </c>
      <c r="D268" s="28" t="e">
        <f t="shared" si="4"/>
        <v>#N/A</v>
      </c>
    </row>
    <row r="269" spans="1:4" x14ac:dyDescent="0.25">
      <c r="A269" s="34">
        <f>IF(ISNUMBER(SEARCH(PLAN!$E$2,B269)),MAX(A$2:$A268)+1,0)</f>
        <v>0</v>
      </c>
      <c r="B269" s="29"/>
      <c r="C269" s="28">
        <v>267</v>
      </c>
      <c r="D269" s="28" t="e">
        <f t="shared" si="4"/>
        <v>#N/A</v>
      </c>
    </row>
    <row r="270" spans="1:4" x14ac:dyDescent="0.25">
      <c r="A270" s="34">
        <f>IF(ISNUMBER(SEARCH(PLAN!$E$2,B270)),MAX(A$2:$A269)+1,0)</f>
        <v>0</v>
      </c>
      <c r="B270" s="29"/>
      <c r="C270" s="30">
        <v>268</v>
      </c>
      <c r="D270" s="28" t="e">
        <f t="shared" si="4"/>
        <v>#N/A</v>
      </c>
    </row>
    <row r="271" spans="1:4" x14ac:dyDescent="0.25">
      <c r="A271" s="34">
        <f>IF(ISNUMBER(SEARCH(PLAN!$E$2,B271)),MAX(A$2:$A270)+1,0)</f>
        <v>0</v>
      </c>
      <c r="B271" s="29"/>
      <c r="C271" s="28">
        <v>269</v>
      </c>
      <c r="D271" s="28" t="e">
        <f t="shared" si="4"/>
        <v>#N/A</v>
      </c>
    </row>
    <row r="272" spans="1:4" x14ac:dyDescent="0.25">
      <c r="A272" s="34">
        <f>IF(ISNUMBER(SEARCH(PLAN!$E$2,B272)),MAX(A$2:$A271)+1,0)</f>
        <v>0</v>
      </c>
      <c r="B272" s="29"/>
      <c r="C272" s="30">
        <v>270</v>
      </c>
      <c r="D272" s="28" t="e">
        <f t="shared" si="4"/>
        <v>#N/A</v>
      </c>
    </row>
    <row r="273" spans="1:4" x14ac:dyDescent="0.25">
      <c r="A273" s="34">
        <f>IF(ISNUMBER(SEARCH(PLAN!$E$2,B273)),MAX(A$2:$A272)+1,0)</f>
        <v>0</v>
      </c>
      <c r="B273" s="29"/>
      <c r="C273" s="28">
        <v>271</v>
      </c>
      <c r="D273" s="28" t="e">
        <f t="shared" si="4"/>
        <v>#N/A</v>
      </c>
    </row>
    <row r="274" spans="1:4" x14ac:dyDescent="0.25">
      <c r="A274" s="34">
        <f>IF(ISNUMBER(SEARCH(PLAN!$E$2,B274)),MAX(A$2:$A273)+1,0)</f>
        <v>0</v>
      </c>
      <c r="B274" s="29"/>
      <c r="C274" s="30">
        <v>272</v>
      </c>
      <c r="D274" s="28" t="e">
        <f t="shared" si="4"/>
        <v>#N/A</v>
      </c>
    </row>
    <row r="275" spans="1:4" x14ac:dyDescent="0.25">
      <c r="A275" s="34">
        <f>IF(ISNUMBER(SEARCH(PLAN!$E$2,B275)),MAX(A$2:$A274)+1,0)</f>
        <v>0</v>
      </c>
      <c r="B275" s="29"/>
      <c r="C275" s="28">
        <v>273</v>
      </c>
      <c r="D275" s="28" t="e">
        <f t="shared" si="4"/>
        <v>#N/A</v>
      </c>
    </row>
    <row r="276" spans="1:4" x14ac:dyDescent="0.25">
      <c r="A276" s="34">
        <f>IF(ISNUMBER(SEARCH(PLAN!$E$2,B276)),MAX(A$2:$A275)+1,0)</f>
        <v>0</v>
      </c>
      <c r="B276" s="29"/>
      <c r="C276" s="30">
        <v>274</v>
      </c>
      <c r="D276" s="28" t="e">
        <f t="shared" si="4"/>
        <v>#N/A</v>
      </c>
    </row>
    <row r="277" spans="1:4" x14ac:dyDescent="0.25">
      <c r="A277" s="34">
        <f>IF(ISNUMBER(SEARCH(PLAN!$E$2,B277)),MAX(A$2:$A276)+1,0)</f>
        <v>0</v>
      </c>
      <c r="B277" s="29"/>
      <c r="C277" s="28">
        <v>275</v>
      </c>
      <c r="D277" s="28" t="e">
        <f t="shared" si="4"/>
        <v>#N/A</v>
      </c>
    </row>
    <row r="278" spans="1:4" x14ac:dyDescent="0.25">
      <c r="A278" s="34">
        <f>IF(ISNUMBER(SEARCH(PLAN!$E$2,B278)),MAX(A$2:$A277)+1,0)</f>
        <v>0</v>
      </c>
      <c r="B278" s="29"/>
      <c r="C278" s="30">
        <v>276</v>
      </c>
      <c r="D278" s="28" t="e">
        <f t="shared" si="4"/>
        <v>#N/A</v>
      </c>
    </row>
    <row r="279" spans="1:4" x14ac:dyDescent="0.25">
      <c r="A279" s="34">
        <f>IF(ISNUMBER(SEARCH(PLAN!$E$2,B279)),MAX(A$2:$A278)+1,0)</f>
        <v>0</v>
      </c>
      <c r="B279" s="29"/>
      <c r="C279" s="28">
        <v>277</v>
      </c>
      <c r="D279" s="28" t="e">
        <f t="shared" si="4"/>
        <v>#N/A</v>
      </c>
    </row>
    <row r="280" spans="1:4" x14ac:dyDescent="0.25">
      <c r="A280" s="34">
        <f>IF(ISNUMBER(SEARCH(PLAN!$E$2,B280)),MAX(A$2:$A279)+1,0)</f>
        <v>0</v>
      </c>
      <c r="B280" s="29"/>
      <c r="C280" s="30">
        <v>278</v>
      </c>
      <c r="D280" s="28" t="e">
        <f t="shared" si="4"/>
        <v>#N/A</v>
      </c>
    </row>
    <row r="281" spans="1:4" x14ac:dyDescent="0.25">
      <c r="A281" s="34">
        <f>IF(ISNUMBER(SEARCH(PLAN!$E$2,B281)),MAX(A$2:$A280)+1,0)</f>
        <v>0</v>
      </c>
      <c r="B281" s="29"/>
      <c r="C281" s="28">
        <v>279</v>
      </c>
      <c r="D281" s="28" t="e">
        <f t="shared" si="4"/>
        <v>#N/A</v>
      </c>
    </row>
    <row r="282" spans="1:4" x14ac:dyDescent="0.25">
      <c r="A282" s="34">
        <f>IF(ISNUMBER(SEARCH(PLAN!$E$2,B282)),MAX(A$2:$A281)+1,0)</f>
        <v>0</v>
      </c>
      <c r="B282" s="29"/>
      <c r="C282" s="30">
        <v>280</v>
      </c>
      <c r="D282" s="28" t="e">
        <f t="shared" si="4"/>
        <v>#N/A</v>
      </c>
    </row>
    <row r="283" spans="1:4" x14ac:dyDescent="0.25">
      <c r="A283" s="34">
        <f>IF(ISNUMBER(SEARCH(PLAN!$E$2,B283)),MAX(A$2:$A282)+1,0)</f>
        <v>0</v>
      </c>
      <c r="B283" s="29"/>
      <c r="C283" s="28">
        <v>281</v>
      </c>
      <c r="D283" s="28" t="e">
        <f t="shared" si="4"/>
        <v>#N/A</v>
      </c>
    </row>
    <row r="284" spans="1:4" x14ac:dyDescent="0.25">
      <c r="A284" s="34">
        <f>IF(ISNUMBER(SEARCH(PLAN!$E$2,B284)),MAX(A$2:$A283)+1,0)</f>
        <v>0</v>
      </c>
      <c r="B284" s="29"/>
      <c r="C284" s="30">
        <v>282</v>
      </c>
      <c r="D284" s="28" t="e">
        <f t="shared" si="4"/>
        <v>#N/A</v>
      </c>
    </row>
    <row r="285" spans="1:4" x14ac:dyDescent="0.25">
      <c r="A285" s="34">
        <f>IF(ISNUMBER(SEARCH(PLAN!$E$2,B285)),MAX(A$2:$A284)+1,0)</f>
        <v>0</v>
      </c>
      <c r="B285" s="29"/>
      <c r="C285" s="28">
        <v>283</v>
      </c>
      <c r="D285" s="28" t="e">
        <f t="shared" si="4"/>
        <v>#N/A</v>
      </c>
    </row>
    <row r="286" spans="1:4" x14ac:dyDescent="0.25">
      <c r="A286" s="34">
        <f>IF(ISNUMBER(SEARCH(PLAN!$E$2,B286)),MAX(A$2:$A285)+1,0)</f>
        <v>0</v>
      </c>
      <c r="B286" s="29"/>
      <c r="C286" s="30">
        <v>284</v>
      </c>
      <c r="D286" s="28" t="e">
        <f t="shared" si="4"/>
        <v>#N/A</v>
      </c>
    </row>
    <row r="287" spans="1:4" x14ac:dyDescent="0.25">
      <c r="A287" s="34">
        <f>IF(ISNUMBER(SEARCH(PLAN!$E$2,B287)),MAX(A$2:$A286)+1,0)</f>
        <v>0</v>
      </c>
      <c r="B287" s="29"/>
      <c r="C287" s="28">
        <v>285</v>
      </c>
      <c r="D287" s="28" t="e">
        <f t="shared" si="4"/>
        <v>#N/A</v>
      </c>
    </row>
    <row r="288" spans="1:4" x14ac:dyDescent="0.25">
      <c r="A288" s="34">
        <f>IF(ISNUMBER(SEARCH(PLAN!$E$2,B288)),MAX(A$2:$A287)+1,0)</f>
        <v>0</v>
      </c>
      <c r="B288" s="29"/>
      <c r="C288" s="30">
        <v>286</v>
      </c>
      <c r="D288" s="28" t="e">
        <f t="shared" si="4"/>
        <v>#N/A</v>
      </c>
    </row>
    <row r="289" spans="1:4" x14ac:dyDescent="0.25">
      <c r="A289" s="34">
        <f>IF(ISNUMBER(SEARCH(PLAN!$E$2,B289)),MAX(A$2:$A288)+1,0)</f>
        <v>0</v>
      </c>
      <c r="B289" s="29"/>
      <c r="C289" s="28">
        <v>287</v>
      </c>
      <c r="D289" s="28" t="e">
        <f t="shared" si="4"/>
        <v>#N/A</v>
      </c>
    </row>
    <row r="290" spans="1:4" x14ac:dyDescent="0.25">
      <c r="A290" s="34">
        <f>IF(ISNUMBER(SEARCH(PLAN!$E$2,B290)),MAX(A$2:$A289)+1,0)</f>
        <v>0</v>
      </c>
      <c r="B290" s="29"/>
      <c r="C290" s="30">
        <v>288</v>
      </c>
      <c r="D290" s="28" t="e">
        <f t="shared" si="4"/>
        <v>#N/A</v>
      </c>
    </row>
    <row r="291" spans="1:4" x14ac:dyDescent="0.25">
      <c r="A291" s="34">
        <f>IF(ISNUMBER(SEARCH(PLAN!$E$2,B291)),MAX(A$2:$A290)+1,0)</f>
        <v>0</v>
      </c>
      <c r="B291" s="29"/>
      <c r="C291" s="28">
        <v>289</v>
      </c>
      <c r="D291" s="28" t="e">
        <f t="shared" si="4"/>
        <v>#N/A</v>
      </c>
    </row>
    <row r="292" spans="1:4" x14ac:dyDescent="0.25">
      <c r="A292" s="34">
        <f>IF(ISNUMBER(SEARCH(PLAN!$E$2,B292)),MAX(A$2:$A291)+1,0)</f>
        <v>0</v>
      </c>
      <c r="B292" s="29"/>
      <c r="C292" s="30">
        <v>290</v>
      </c>
      <c r="D292" s="28" t="e">
        <f t="shared" si="4"/>
        <v>#N/A</v>
      </c>
    </row>
    <row r="293" spans="1:4" x14ac:dyDescent="0.25">
      <c r="A293" s="34">
        <f>IF(ISNUMBER(SEARCH(PLAN!$E$2,B293)),MAX(A$2:$A292)+1,0)</f>
        <v>0</v>
      </c>
      <c r="B293" s="29"/>
      <c r="C293" s="28">
        <v>291</v>
      </c>
      <c r="D293" s="28" t="e">
        <f t="shared" si="4"/>
        <v>#N/A</v>
      </c>
    </row>
    <row r="294" spans="1:4" x14ac:dyDescent="0.25">
      <c r="A294" s="34">
        <f>IF(ISNUMBER(SEARCH(PLAN!$E$2,B294)),MAX(A$2:$A293)+1,0)</f>
        <v>0</v>
      </c>
      <c r="B294" s="29"/>
      <c r="C294" s="30">
        <v>292</v>
      </c>
      <c r="D294" s="28" t="e">
        <f t="shared" si="4"/>
        <v>#N/A</v>
      </c>
    </row>
    <row r="295" spans="1:4" x14ac:dyDescent="0.25">
      <c r="A295" s="34">
        <f>IF(ISNUMBER(SEARCH(PLAN!$E$2,B295)),MAX(A$2:$A294)+1,0)</f>
        <v>0</v>
      </c>
      <c r="B295" s="29"/>
      <c r="C295" s="28">
        <v>293</v>
      </c>
      <c r="D295" s="28" t="e">
        <f t="shared" si="4"/>
        <v>#N/A</v>
      </c>
    </row>
    <row r="296" spans="1:4" x14ac:dyDescent="0.25">
      <c r="A296" s="34">
        <f>IF(ISNUMBER(SEARCH(PLAN!$E$2,B296)),MAX(A$2:$A295)+1,0)</f>
        <v>0</v>
      </c>
      <c r="B296" s="29"/>
      <c r="C296" s="30">
        <v>294</v>
      </c>
      <c r="D296" s="28" t="e">
        <f t="shared" si="4"/>
        <v>#N/A</v>
      </c>
    </row>
    <row r="297" spans="1:4" x14ac:dyDescent="0.25">
      <c r="A297" s="34">
        <f>IF(ISNUMBER(SEARCH(PLAN!$E$2,B297)),MAX(A$2:$A296)+1,0)</f>
        <v>0</v>
      </c>
      <c r="B297" s="29"/>
      <c r="C297" s="28">
        <v>295</v>
      </c>
      <c r="D297" s="28" t="e">
        <f t="shared" si="4"/>
        <v>#N/A</v>
      </c>
    </row>
    <row r="298" spans="1:4" x14ac:dyDescent="0.25">
      <c r="A298" s="34">
        <f>IF(ISNUMBER(SEARCH(PLAN!$E$2,B298)),MAX(A$2:$A297)+1,0)</f>
        <v>0</v>
      </c>
      <c r="B298" s="29"/>
      <c r="C298" s="30">
        <v>296</v>
      </c>
      <c r="D298" s="28" t="e">
        <f t="shared" si="4"/>
        <v>#N/A</v>
      </c>
    </row>
    <row r="299" spans="1:4" x14ac:dyDescent="0.25">
      <c r="A299" s="34">
        <f>IF(ISNUMBER(SEARCH(PLAN!$E$2,B299)),MAX(A$2:$A298)+1,0)</f>
        <v>0</v>
      </c>
      <c r="B299" s="29"/>
      <c r="C299" s="28">
        <v>297</v>
      </c>
      <c r="D299" s="28" t="e">
        <f t="shared" si="4"/>
        <v>#N/A</v>
      </c>
    </row>
    <row r="300" spans="1:4" x14ac:dyDescent="0.25">
      <c r="A300" s="34">
        <f>IF(ISNUMBER(SEARCH(PLAN!$E$2,B300)),MAX(A$2:$A299)+1,0)</f>
        <v>0</v>
      </c>
      <c r="B300" s="29"/>
      <c r="C300" s="30">
        <v>298</v>
      </c>
      <c r="D300" s="28" t="e">
        <f t="shared" si="4"/>
        <v>#N/A</v>
      </c>
    </row>
    <row r="301" spans="1:4" x14ac:dyDescent="0.25">
      <c r="A301" s="34">
        <f>IF(ISNUMBER(SEARCH(PLAN!$E$2,B301)),MAX(A$2:$A300)+1,0)</f>
        <v>0</v>
      </c>
      <c r="B301" s="29"/>
      <c r="C301" s="28">
        <v>299</v>
      </c>
      <c r="D301" s="28" t="e">
        <f t="shared" si="4"/>
        <v>#N/A</v>
      </c>
    </row>
    <row r="302" spans="1:4" x14ac:dyDescent="0.25">
      <c r="A302" s="34">
        <f>IF(ISNUMBER(SEARCH(PLAN!$E$2,B302)),MAX(A$2:$A301)+1,0)</f>
        <v>0</v>
      </c>
      <c r="B302" s="29"/>
      <c r="C302" s="30">
        <v>300</v>
      </c>
      <c r="D302" s="28" t="e">
        <f t="shared" si="4"/>
        <v>#N/A</v>
      </c>
    </row>
    <row r="303" spans="1:4" x14ac:dyDescent="0.25">
      <c r="A303" s="34">
        <f>IF(ISNUMBER(SEARCH(PLAN!$E$2,B303)),MAX(A$2:$A302)+1,0)</f>
        <v>0</v>
      </c>
      <c r="B303" s="29"/>
      <c r="C303" s="28">
        <v>301</v>
      </c>
      <c r="D303" s="28" t="e">
        <f t="shared" si="4"/>
        <v>#N/A</v>
      </c>
    </row>
    <row r="304" spans="1:4" x14ac:dyDescent="0.25">
      <c r="A304" s="34">
        <f>IF(ISNUMBER(SEARCH(PLAN!$E$2,B304)),MAX(A$2:$A303)+1,0)</f>
        <v>0</v>
      </c>
      <c r="B304" s="29"/>
      <c r="C304" s="30">
        <v>302</v>
      </c>
      <c r="D304" s="28" t="e">
        <f t="shared" si="4"/>
        <v>#N/A</v>
      </c>
    </row>
    <row r="305" spans="1:4" x14ac:dyDescent="0.25">
      <c r="A305" s="34">
        <f>IF(ISNUMBER(SEARCH(PLAN!$E$2,B305)),MAX(A$2:$A304)+1,0)</f>
        <v>0</v>
      </c>
      <c r="B305" s="29"/>
      <c r="C305" s="28">
        <v>303</v>
      </c>
      <c r="D305" s="28" t="e">
        <f t="shared" si="4"/>
        <v>#N/A</v>
      </c>
    </row>
    <row r="306" spans="1:4" x14ac:dyDescent="0.25">
      <c r="A306" s="34">
        <f>IF(ISNUMBER(SEARCH(PLAN!$E$2,B306)),MAX(A$2:$A305)+1,0)</f>
        <v>0</v>
      </c>
      <c r="B306" s="29"/>
      <c r="C306" s="30">
        <v>304</v>
      </c>
      <c r="D306" s="28" t="e">
        <f t="shared" si="4"/>
        <v>#N/A</v>
      </c>
    </row>
    <row r="307" spans="1:4" x14ac:dyDescent="0.25">
      <c r="A307" s="34">
        <f>IF(ISNUMBER(SEARCH(PLAN!$E$2,B307)),MAX(A$2:$A306)+1,0)</f>
        <v>0</v>
      </c>
      <c r="B307" s="29"/>
      <c r="C307" s="28">
        <v>305</v>
      </c>
      <c r="D307" s="28" t="e">
        <f t="shared" si="4"/>
        <v>#N/A</v>
      </c>
    </row>
    <row r="308" spans="1:4" x14ac:dyDescent="0.25">
      <c r="A308" s="34">
        <f>IF(ISNUMBER(SEARCH(PLAN!$E$2,B308)),MAX(A$2:$A307)+1,0)</f>
        <v>0</v>
      </c>
      <c r="B308" s="29"/>
      <c r="C308" s="30">
        <v>306</v>
      </c>
      <c r="D308" s="28" t="e">
        <f t="shared" si="4"/>
        <v>#N/A</v>
      </c>
    </row>
    <row r="309" spans="1:4" x14ac:dyDescent="0.25">
      <c r="A309" s="34">
        <f>IF(ISNUMBER(SEARCH(PLAN!$E$2,B309)),MAX(A$2:$A308)+1,0)</f>
        <v>0</v>
      </c>
      <c r="B309" s="29"/>
      <c r="C309" s="28">
        <v>307</v>
      </c>
      <c r="D309" s="28" t="e">
        <f t="shared" si="4"/>
        <v>#N/A</v>
      </c>
    </row>
    <row r="310" spans="1:4" x14ac:dyDescent="0.25">
      <c r="A310" s="34">
        <f>IF(ISNUMBER(SEARCH(PLAN!$E$2,B310)),MAX(A$2:$A309)+1,0)</f>
        <v>0</v>
      </c>
      <c r="C310" s="30">
        <v>308</v>
      </c>
      <c r="D310" s="28" t="e">
        <f t="shared" si="4"/>
        <v>#N/A</v>
      </c>
    </row>
    <row r="311" spans="1:4" x14ac:dyDescent="0.25">
      <c r="A311" s="34">
        <f>IF(ISNUMBER(SEARCH(PLAN!$E$2,B311)),MAX(A$2:$A310)+1,0)</f>
        <v>0</v>
      </c>
      <c r="C311" s="28">
        <v>309</v>
      </c>
      <c r="D311" s="28" t="e">
        <f t="shared" si="4"/>
        <v>#N/A</v>
      </c>
    </row>
    <row r="312" spans="1:4" x14ac:dyDescent="0.25">
      <c r="A312" s="34">
        <f>IF(ISNUMBER(SEARCH(PLAN!$E$2,B312)),MAX(A$2:$A311)+1,0)</f>
        <v>0</v>
      </c>
      <c r="C312" s="30">
        <v>310</v>
      </c>
      <c r="D312" s="28" t="e">
        <f t="shared" si="4"/>
        <v>#N/A</v>
      </c>
    </row>
    <row r="313" spans="1:4" x14ac:dyDescent="0.25">
      <c r="A313" s="34">
        <f>IF(ISNUMBER(SEARCH(PLAN!$E$2,B313)),MAX(A$2:$A312)+1,0)</f>
        <v>0</v>
      </c>
      <c r="C313" s="28">
        <v>311</v>
      </c>
      <c r="D313" s="28" t="e">
        <f t="shared" si="4"/>
        <v>#N/A</v>
      </c>
    </row>
    <row r="314" spans="1:4" x14ac:dyDescent="0.25">
      <c r="A314" s="34">
        <f>IF(ISNUMBER(SEARCH(PLAN!$E$2,B314)),MAX(A$2:$A313)+1,0)</f>
        <v>0</v>
      </c>
      <c r="C314" s="30">
        <v>312</v>
      </c>
      <c r="D314" s="28" t="e">
        <f t="shared" si="4"/>
        <v>#N/A</v>
      </c>
    </row>
    <row r="315" spans="1:4" x14ac:dyDescent="0.25">
      <c r="A315" s="34">
        <f>IF(ISNUMBER(SEARCH(PLAN!$E$2,B315)),MAX(A$2:$A314)+1,0)</f>
        <v>0</v>
      </c>
      <c r="C315" s="28">
        <v>313</v>
      </c>
      <c r="D315" s="28" t="e">
        <f t="shared" si="4"/>
        <v>#N/A</v>
      </c>
    </row>
    <row r="316" spans="1:4" x14ac:dyDescent="0.25">
      <c r="A316" s="34">
        <f>IF(ISNUMBER(SEARCH(PLAN!$E$2,B316)),MAX(A$2:$A315)+1,0)</f>
        <v>0</v>
      </c>
      <c r="C316" s="30">
        <v>314</v>
      </c>
      <c r="D316" s="28" t="e">
        <f t="shared" si="4"/>
        <v>#N/A</v>
      </c>
    </row>
    <row r="317" spans="1:4" x14ac:dyDescent="0.25">
      <c r="A317" s="34">
        <f>IF(ISNUMBER(SEARCH(PLAN!$E$2,B317)),MAX(A$2:$A316)+1,0)</f>
        <v>0</v>
      </c>
      <c r="C317" s="28">
        <v>315</v>
      </c>
      <c r="D317" s="28" t="e">
        <f t="shared" si="4"/>
        <v>#N/A</v>
      </c>
    </row>
    <row r="318" spans="1:4" x14ac:dyDescent="0.25">
      <c r="A318" s="34">
        <f>IF(ISNUMBER(SEARCH(PLAN!$E$2,B318)),MAX(A$2:$A317)+1,0)</f>
        <v>0</v>
      </c>
      <c r="C318" s="30">
        <v>316</v>
      </c>
      <c r="D318" s="28" t="e">
        <f t="shared" si="4"/>
        <v>#N/A</v>
      </c>
    </row>
    <row r="319" spans="1:4" x14ac:dyDescent="0.25">
      <c r="A319" s="34">
        <f>IF(ISNUMBER(SEARCH(PLAN!$E$2,B319)),MAX(A$2:$A318)+1,0)</f>
        <v>0</v>
      </c>
      <c r="C319" s="28">
        <v>317</v>
      </c>
      <c r="D319" s="28" t="e">
        <f t="shared" si="4"/>
        <v>#N/A</v>
      </c>
    </row>
    <row r="320" spans="1:4" x14ac:dyDescent="0.25">
      <c r="A320" s="34">
        <f>IF(ISNUMBER(SEARCH(PLAN!$E$2,B320)),MAX(A$2:$A319)+1,0)</f>
        <v>0</v>
      </c>
      <c r="C320" s="30">
        <v>318</v>
      </c>
      <c r="D320" s="28" t="e">
        <f t="shared" si="4"/>
        <v>#N/A</v>
      </c>
    </row>
    <row r="321" spans="1:4" x14ac:dyDescent="0.25">
      <c r="A321" s="34">
        <f>IF(ISNUMBER(SEARCH(PLAN!$E$2,B321)),MAX(A$2:$A320)+1,0)</f>
        <v>0</v>
      </c>
      <c r="C321" s="28">
        <v>319</v>
      </c>
      <c r="D321" s="28" t="e">
        <f t="shared" si="4"/>
        <v>#N/A</v>
      </c>
    </row>
    <row r="322" spans="1:4" x14ac:dyDescent="0.25">
      <c r="A322" s="34">
        <f>IF(ISNUMBER(SEARCH(PLAN!$E$2,B322)),MAX(A$2:$A321)+1,0)</f>
        <v>0</v>
      </c>
      <c r="C322" s="30">
        <v>320</v>
      </c>
      <c r="D322" s="28" t="e">
        <f t="shared" si="4"/>
        <v>#N/A</v>
      </c>
    </row>
    <row r="323" spans="1:4" x14ac:dyDescent="0.25">
      <c r="A323" s="34">
        <f>IF(ISNUMBER(SEARCH(PLAN!$E$2,B323)),MAX(A$2:$A322)+1,0)</f>
        <v>0</v>
      </c>
      <c r="C323" s="28">
        <v>321</v>
      </c>
      <c r="D323" s="28" t="e">
        <f t="shared" ref="D323:D386" si="5">VLOOKUP(C323,A:B,2,0)</f>
        <v>#N/A</v>
      </c>
    </row>
    <row r="324" spans="1:4" x14ac:dyDescent="0.25">
      <c r="A324" s="34">
        <f>IF(ISNUMBER(SEARCH(PLAN!$E$2,B324)),MAX(A$2:$A323)+1,0)</f>
        <v>0</v>
      </c>
      <c r="C324" s="30">
        <v>322</v>
      </c>
      <c r="D324" s="28" t="e">
        <f t="shared" si="5"/>
        <v>#N/A</v>
      </c>
    </row>
    <row r="325" spans="1:4" x14ac:dyDescent="0.25">
      <c r="A325" s="34">
        <f>IF(ISNUMBER(SEARCH(PLAN!$E$2,B325)),MAX(A$2:$A324)+1,0)</f>
        <v>0</v>
      </c>
      <c r="C325" s="28">
        <v>323</v>
      </c>
      <c r="D325" s="28" t="e">
        <f t="shared" si="5"/>
        <v>#N/A</v>
      </c>
    </row>
    <row r="326" spans="1:4" x14ac:dyDescent="0.25">
      <c r="A326" s="34">
        <f>IF(ISNUMBER(SEARCH(PLAN!$E$2,B326)),MAX(A$2:$A325)+1,0)</f>
        <v>0</v>
      </c>
      <c r="C326" s="30">
        <v>324</v>
      </c>
      <c r="D326" s="28" t="e">
        <f t="shared" si="5"/>
        <v>#N/A</v>
      </c>
    </row>
    <row r="327" spans="1:4" x14ac:dyDescent="0.25">
      <c r="A327" s="34">
        <f>IF(ISNUMBER(SEARCH(PLAN!$E$2,B327)),MAX(A$2:$A326)+1,0)</f>
        <v>0</v>
      </c>
      <c r="C327" s="28">
        <v>325</v>
      </c>
      <c r="D327" s="28" t="e">
        <f t="shared" si="5"/>
        <v>#N/A</v>
      </c>
    </row>
    <row r="328" spans="1:4" x14ac:dyDescent="0.25">
      <c r="A328" s="34">
        <f>IF(ISNUMBER(SEARCH(PLAN!$E$2,B328)),MAX(A$2:$A327)+1,0)</f>
        <v>0</v>
      </c>
      <c r="C328" s="30">
        <v>326</v>
      </c>
      <c r="D328" s="28" t="e">
        <f t="shared" si="5"/>
        <v>#N/A</v>
      </c>
    </row>
    <row r="329" spans="1:4" x14ac:dyDescent="0.25">
      <c r="A329" s="34">
        <f>IF(ISNUMBER(SEARCH(PLAN!$E$2,B329)),MAX(A$2:$A328)+1,0)</f>
        <v>0</v>
      </c>
      <c r="C329" s="28">
        <v>327</v>
      </c>
      <c r="D329" s="28" t="e">
        <f t="shared" si="5"/>
        <v>#N/A</v>
      </c>
    </row>
    <row r="330" spans="1:4" x14ac:dyDescent="0.25">
      <c r="A330" s="34">
        <f>IF(ISNUMBER(SEARCH(PLAN!$E$2,B330)),MAX(A$2:$A329)+1,0)</f>
        <v>0</v>
      </c>
      <c r="C330" s="30">
        <v>328</v>
      </c>
      <c r="D330" s="28" t="e">
        <f t="shared" si="5"/>
        <v>#N/A</v>
      </c>
    </row>
    <row r="331" spans="1:4" x14ac:dyDescent="0.25">
      <c r="A331" s="34">
        <f>IF(ISNUMBER(SEARCH(PLAN!$E$2,B331)),MAX(A$2:$A330)+1,0)</f>
        <v>0</v>
      </c>
      <c r="C331" s="28">
        <v>329</v>
      </c>
      <c r="D331" s="28" t="e">
        <f t="shared" si="5"/>
        <v>#N/A</v>
      </c>
    </row>
    <row r="332" spans="1:4" x14ac:dyDescent="0.25">
      <c r="A332" s="34">
        <f>IF(ISNUMBER(SEARCH(PLAN!$E$2,B332)),MAX(A$2:$A331)+1,0)</f>
        <v>0</v>
      </c>
      <c r="C332" s="30">
        <v>330</v>
      </c>
      <c r="D332" s="28" t="e">
        <f t="shared" si="5"/>
        <v>#N/A</v>
      </c>
    </row>
    <row r="333" spans="1:4" x14ac:dyDescent="0.25">
      <c r="A333" s="34">
        <f>IF(ISNUMBER(SEARCH(PLAN!$E$2,B333)),MAX(A$2:$A332)+1,0)</f>
        <v>0</v>
      </c>
      <c r="C333" s="28">
        <v>331</v>
      </c>
      <c r="D333" s="28" t="e">
        <f t="shared" si="5"/>
        <v>#N/A</v>
      </c>
    </row>
    <row r="334" spans="1:4" x14ac:dyDescent="0.25">
      <c r="A334" s="34">
        <f>IF(ISNUMBER(SEARCH(PLAN!$E$2,B334)),MAX(A$2:$A333)+1,0)</f>
        <v>0</v>
      </c>
      <c r="C334" s="30">
        <v>332</v>
      </c>
      <c r="D334" s="28" t="e">
        <f t="shared" si="5"/>
        <v>#N/A</v>
      </c>
    </row>
    <row r="335" spans="1:4" x14ac:dyDescent="0.25">
      <c r="A335" s="34">
        <f>IF(ISNUMBER(SEARCH(PLAN!$E$2,B335)),MAX(A$2:$A334)+1,0)</f>
        <v>0</v>
      </c>
      <c r="C335" s="28">
        <v>333</v>
      </c>
      <c r="D335" s="28" t="e">
        <f t="shared" si="5"/>
        <v>#N/A</v>
      </c>
    </row>
    <row r="336" spans="1:4" x14ac:dyDescent="0.25">
      <c r="A336" s="34">
        <f>IF(ISNUMBER(SEARCH(PLAN!$E$2,B336)),MAX(A$2:$A335)+1,0)</f>
        <v>0</v>
      </c>
      <c r="C336" s="30">
        <v>334</v>
      </c>
      <c r="D336" s="28" t="e">
        <f t="shared" si="5"/>
        <v>#N/A</v>
      </c>
    </row>
    <row r="337" spans="1:4" x14ac:dyDescent="0.25">
      <c r="A337" s="34">
        <f>IF(ISNUMBER(SEARCH(PLAN!$E$2,B337)),MAX(A$2:$A336)+1,0)</f>
        <v>0</v>
      </c>
      <c r="C337" s="28">
        <v>335</v>
      </c>
      <c r="D337" s="28" t="e">
        <f t="shared" si="5"/>
        <v>#N/A</v>
      </c>
    </row>
    <row r="338" spans="1:4" x14ac:dyDescent="0.25">
      <c r="A338" s="34">
        <f>IF(ISNUMBER(SEARCH(PLAN!$E$2,B338)),MAX(A$2:$A337)+1,0)</f>
        <v>0</v>
      </c>
      <c r="C338" s="30">
        <v>336</v>
      </c>
      <c r="D338" s="28" t="e">
        <f t="shared" si="5"/>
        <v>#N/A</v>
      </c>
    </row>
    <row r="339" spans="1:4" x14ac:dyDescent="0.25">
      <c r="A339" s="34">
        <f>IF(ISNUMBER(SEARCH(PLAN!$E$2,B339)),MAX(A$2:$A338)+1,0)</f>
        <v>0</v>
      </c>
      <c r="C339" s="28">
        <v>337</v>
      </c>
      <c r="D339" s="28" t="e">
        <f t="shared" si="5"/>
        <v>#N/A</v>
      </c>
    </row>
    <row r="340" spans="1:4" x14ac:dyDescent="0.25">
      <c r="A340" s="34">
        <f>IF(ISNUMBER(SEARCH(PLAN!$E$2,B340)),MAX(A$2:$A339)+1,0)</f>
        <v>0</v>
      </c>
      <c r="C340" s="30">
        <v>338</v>
      </c>
      <c r="D340" s="28" t="e">
        <f t="shared" si="5"/>
        <v>#N/A</v>
      </c>
    </row>
    <row r="341" spans="1:4" x14ac:dyDescent="0.25">
      <c r="A341" s="34">
        <f>IF(ISNUMBER(SEARCH(PLAN!$E$2,B341)),MAX(A$2:$A340)+1,0)</f>
        <v>0</v>
      </c>
      <c r="C341" s="28">
        <v>339</v>
      </c>
      <c r="D341" s="28" t="e">
        <f t="shared" si="5"/>
        <v>#N/A</v>
      </c>
    </row>
    <row r="342" spans="1:4" x14ac:dyDescent="0.25">
      <c r="A342" s="34">
        <f>IF(ISNUMBER(SEARCH(PLAN!$E$2,B342)),MAX(A$2:$A341)+1,0)</f>
        <v>0</v>
      </c>
      <c r="C342" s="30">
        <v>340</v>
      </c>
      <c r="D342" s="28" t="e">
        <f t="shared" si="5"/>
        <v>#N/A</v>
      </c>
    </row>
    <row r="343" spans="1:4" x14ac:dyDescent="0.25">
      <c r="A343" s="34">
        <f>IF(ISNUMBER(SEARCH(PLAN!$E$2,B343)),MAX(A$2:$A342)+1,0)</f>
        <v>0</v>
      </c>
      <c r="C343" s="28">
        <v>341</v>
      </c>
      <c r="D343" s="28" t="e">
        <f t="shared" si="5"/>
        <v>#N/A</v>
      </c>
    </row>
    <row r="344" spans="1:4" x14ac:dyDescent="0.25">
      <c r="A344" s="34">
        <f>IF(ISNUMBER(SEARCH(PLAN!$E$2,B344)),MAX(A$2:$A343)+1,0)</f>
        <v>0</v>
      </c>
      <c r="C344" s="30">
        <v>342</v>
      </c>
      <c r="D344" s="28" t="e">
        <f t="shared" si="5"/>
        <v>#N/A</v>
      </c>
    </row>
    <row r="345" spans="1:4" x14ac:dyDescent="0.25">
      <c r="A345" s="34">
        <f>IF(ISNUMBER(SEARCH(PLAN!$E$2,B345)),MAX(A$2:$A344)+1,0)</f>
        <v>0</v>
      </c>
      <c r="C345" s="28">
        <v>343</v>
      </c>
      <c r="D345" s="28" t="e">
        <f t="shared" si="5"/>
        <v>#N/A</v>
      </c>
    </row>
    <row r="346" spans="1:4" x14ac:dyDescent="0.25">
      <c r="A346" s="34">
        <f>IF(ISNUMBER(SEARCH(PLAN!$E$2,B346)),MAX(A$2:$A345)+1,0)</f>
        <v>0</v>
      </c>
      <c r="C346" s="30">
        <v>344</v>
      </c>
      <c r="D346" s="28" t="e">
        <f t="shared" si="5"/>
        <v>#N/A</v>
      </c>
    </row>
    <row r="347" spans="1:4" x14ac:dyDescent="0.25">
      <c r="A347" s="34">
        <f>IF(ISNUMBER(SEARCH(PLAN!$E$2,B347)),MAX(A$2:$A346)+1,0)</f>
        <v>0</v>
      </c>
      <c r="C347" s="28">
        <v>345</v>
      </c>
      <c r="D347" s="28" t="e">
        <f t="shared" si="5"/>
        <v>#N/A</v>
      </c>
    </row>
    <row r="348" spans="1:4" x14ac:dyDescent="0.25">
      <c r="A348" s="34">
        <f>IF(ISNUMBER(SEARCH(PLAN!$E$2,B348)),MAX(A$2:$A347)+1,0)</f>
        <v>0</v>
      </c>
      <c r="C348" s="30">
        <v>346</v>
      </c>
      <c r="D348" s="28" t="e">
        <f t="shared" si="5"/>
        <v>#N/A</v>
      </c>
    </row>
    <row r="349" spans="1:4" x14ac:dyDescent="0.25">
      <c r="A349" s="34">
        <f>IF(ISNUMBER(SEARCH(PLAN!$E$2,B349)),MAX(A$2:$A348)+1,0)</f>
        <v>0</v>
      </c>
      <c r="C349" s="28">
        <v>347</v>
      </c>
      <c r="D349" s="28" t="e">
        <f t="shared" si="5"/>
        <v>#N/A</v>
      </c>
    </row>
    <row r="350" spans="1:4" x14ac:dyDescent="0.25">
      <c r="A350" s="34">
        <f>IF(ISNUMBER(SEARCH(PLAN!$E$2,B350)),MAX(A$2:$A349)+1,0)</f>
        <v>0</v>
      </c>
      <c r="C350" s="30">
        <v>348</v>
      </c>
      <c r="D350" s="28" t="e">
        <f t="shared" si="5"/>
        <v>#N/A</v>
      </c>
    </row>
    <row r="351" spans="1:4" x14ac:dyDescent="0.25">
      <c r="A351" s="34">
        <f>IF(ISNUMBER(SEARCH(PLAN!$E$2,B351)),MAX(A$2:$A350)+1,0)</f>
        <v>0</v>
      </c>
      <c r="C351" s="28">
        <v>349</v>
      </c>
      <c r="D351" s="28" t="e">
        <f t="shared" si="5"/>
        <v>#N/A</v>
      </c>
    </row>
    <row r="352" spans="1:4" x14ac:dyDescent="0.25">
      <c r="A352" s="34">
        <f>IF(ISNUMBER(SEARCH(PLAN!$E$2,B352)),MAX(A$2:$A351)+1,0)</f>
        <v>0</v>
      </c>
      <c r="C352" s="30">
        <v>350</v>
      </c>
      <c r="D352" s="28" t="e">
        <f t="shared" si="5"/>
        <v>#N/A</v>
      </c>
    </row>
    <row r="353" spans="1:4" x14ac:dyDescent="0.25">
      <c r="A353" s="34">
        <f>IF(ISNUMBER(SEARCH(PLAN!$E$2,B353)),MAX(A$2:$A352)+1,0)</f>
        <v>0</v>
      </c>
      <c r="C353" s="28">
        <v>351</v>
      </c>
      <c r="D353" s="28" t="e">
        <f t="shared" si="5"/>
        <v>#N/A</v>
      </c>
    </row>
    <row r="354" spans="1:4" x14ac:dyDescent="0.25">
      <c r="A354" s="34">
        <f>IF(ISNUMBER(SEARCH(PLAN!$E$2,B354)),MAX(A$2:$A353)+1,0)</f>
        <v>0</v>
      </c>
      <c r="B354" s="1"/>
      <c r="C354" s="30">
        <v>352</v>
      </c>
      <c r="D354" s="28" t="e">
        <f t="shared" si="5"/>
        <v>#N/A</v>
      </c>
    </row>
    <row r="355" spans="1:4" x14ac:dyDescent="0.25">
      <c r="A355" s="34">
        <f>IF(ISNUMBER(SEARCH(PLAN!$E$2,B355)),MAX(A$2:$A354)+1,0)</f>
        <v>0</v>
      </c>
      <c r="B355" s="1"/>
      <c r="C355" s="28">
        <v>353</v>
      </c>
      <c r="D355" s="28" t="e">
        <f t="shared" si="5"/>
        <v>#N/A</v>
      </c>
    </row>
    <row r="356" spans="1:4" x14ac:dyDescent="0.25">
      <c r="A356" s="34">
        <f>IF(ISNUMBER(SEARCH(PLAN!$E$2,B356)),MAX(A$2:$A355)+1,0)</f>
        <v>0</v>
      </c>
      <c r="C356" s="30">
        <v>354</v>
      </c>
      <c r="D356" s="28" t="e">
        <f t="shared" si="5"/>
        <v>#N/A</v>
      </c>
    </row>
    <row r="357" spans="1:4" x14ac:dyDescent="0.25">
      <c r="A357" s="34">
        <f>IF(ISNUMBER(SEARCH(PLAN!$E$2,B357)),MAX(A$2:$A356)+1,0)</f>
        <v>0</v>
      </c>
      <c r="C357" s="28">
        <v>355</v>
      </c>
      <c r="D357" s="28" t="e">
        <f t="shared" si="5"/>
        <v>#N/A</v>
      </c>
    </row>
    <row r="358" spans="1:4" x14ac:dyDescent="0.25">
      <c r="A358" s="34">
        <f>IF(ISNUMBER(SEARCH(PLAN!$E$2,B358)),MAX(A$2:$A357)+1,0)</f>
        <v>0</v>
      </c>
      <c r="C358" s="30">
        <v>356</v>
      </c>
      <c r="D358" s="28" t="e">
        <f t="shared" si="5"/>
        <v>#N/A</v>
      </c>
    </row>
    <row r="359" spans="1:4" x14ac:dyDescent="0.25">
      <c r="A359" s="34">
        <f>IF(ISNUMBER(SEARCH(PLAN!$E$2,B359)),MAX(A$2:$A358)+1,0)</f>
        <v>0</v>
      </c>
      <c r="C359" s="28">
        <v>357</v>
      </c>
      <c r="D359" s="28" t="e">
        <f t="shared" si="5"/>
        <v>#N/A</v>
      </c>
    </row>
    <row r="360" spans="1:4" x14ac:dyDescent="0.25">
      <c r="A360" s="34">
        <f>IF(ISNUMBER(SEARCH(PLAN!$E$2,B360)),MAX(A$2:$A359)+1,0)</f>
        <v>0</v>
      </c>
      <c r="C360" s="30">
        <v>358</v>
      </c>
      <c r="D360" s="28" t="e">
        <f t="shared" si="5"/>
        <v>#N/A</v>
      </c>
    </row>
    <row r="361" spans="1:4" x14ac:dyDescent="0.25">
      <c r="A361" s="34">
        <f>IF(ISNUMBER(SEARCH(PLAN!$E$2,B361)),MAX(A$2:$A360)+1,0)</f>
        <v>0</v>
      </c>
      <c r="C361" s="28">
        <v>359</v>
      </c>
      <c r="D361" s="28" t="e">
        <f t="shared" si="5"/>
        <v>#N/A</v>
      </c>
    </row>
    <row r="362" spans="1:4" x14ac:dyDescent="0.25">
      <c r="A362" s="34">
        <f>IF(ISNUMBER(SEARCH(PLAN!$E$2,B362)),MAX(A$2:$A361)+1,0)</f>
        <v>0</v>
      </c>
      <c r="C362" s="30">
        <v>360</v>
      </c>
      <c r="D362" s="28" t="e">
        <f t="shared" si="5"/>
        <v>#N/A</v>
      </c>
    </row>
    <row r="363" spans="1:4" x14ac:dyDescent="0.25">
      <c r="A363" s="34">
        <f>IF(ISNUMBER(SEARCH(PLAN!$E$2,B363)),MAX(A$2:$A362)+1,0)</f>
        <v>0</v>
      </c>
      <c r="C363" s="28">
        <v>361</v>
      </c>
      <c r="D363" s="28" t="e">
        <f t="shared" si="5"/>
        <v>#N/A</v>
      </c>
    </row>
    <row r="364" spans="1:4" x14ac:dyDescent="0.25">
      <c r="A364" s="34">
        <f>IF(ISNUMBER(SEARCH(PLAN!$E$2,B364)),MAX(A$2:$A363)+1,0)</f>
        <v>0</v>
      </c>
      <c r="C364" s="30">
        <v>362</v>
      </c>
      <c r="D364" s="28" t="e">
        <f t="shared" si="5"/>
        <v>#N/A</v>
      </c>
    </row>
    <row r="365" spans="1:4" x14ac:dyDescent="0.25">
      <c r="A365" s="34">
        <f>IF(ISNUMBER(SEARCH(PLAN!$E$2,B365)),MAX(A$2:$A364)+1,0)</f>
        <v>0</v>
      </c>
      <c r="C365" s="28">
        <v>363</v>
      </c>
      <c r="D365" s="28" t="e">
        <f t="shared" si="5"/>
        <v>#N/A</v>
      </c>
    </row>
    <row r="366" spans="1:4" x14ac:dyDescent="0.25">
      <c r="A366" s="34">
        <f>IF(ISNUMBER(SEARCH(PLAN!$E$2,B366)),MAX(A$2:$A365)+1,0)</f>
        <v>0</v>
      </c>
      <c r="C366" s="30">
        <v>364</v>
      </c>
      <c r="D366" s="28" t="e">
        <f t="shared" si="5"/>
        <v>#N/A</v>
      </c>
    </row>
    <row r="367" spans="1:4" x14ac:dyDescent="0.25">
      <c r="A367" s="34">
        <f>IF(ISNUMBER(SEARCH(PLAN!$E$2,B367)),MAX(A$2:$A366)+1,0)</f>
        <v>0</v>
      </c>
      <c r="C367" s="28">
        <v>365</v>
      </c>
      <c r="D367" s="28" t="e">
        <f t="shared" si="5"/>
        <v>#N/A</v>
      </c>
    </row>
    <row r="368" spans="1:4" x14ac:dyDescent="0.25">
      <c r="A368" s="34">
        <f>IF(ISNUMBER(SEARCH(PLAN!$E$2,B368)),MAX(A$2:$A367)+1,0)</f>
        <v>0</v>
      </c>
      <c r="C368" s="30">
        <v>366</v>
      </c>
      <c r="D368" s="28" t="e">
        <f t="shared" si="5"/>
        <v>#N/A</v>
      </c>
    </row>
    <row r="369" spans="1:4" x14ac:dyDescent="0.25">
      <c r="A369" s="34">
        <f>IF(ISNUMBER(SEARCH(PLAN!$E$2,B369)),MAX(A$2:$A368)+1,0)</f>
        <v>0</v>
      </c>
      <c r="C369" s="28">
        <v>367</v>
      </c>
      <c r="D369" s="28" t="e">
        <f t="shared" si="5"/>
        <v>#N/A</v>
      </c>
    </row>
    <row r="370" spans="1:4" x14ac:dyDescent="0.25">
      <c r="A370" s="34">
        <f>IF(ISNUMBER(SEARCH(PLAN!$E$2,B370)),MAX(A$2:$A369)+1,0)</f>
        <v>0</v>
      </c>
      <c r="C370" s="30">
        <v>368</v>
      </c>
      <c r="D370" s="28" t="e">
        <f t="shared" si="5"/>
        <v>#N/A</v>
      </c>
    </row>
    <row r="371" spans="1:4" x14ac:dyDescent="0.25">
      <c r="A371" s="34">
        <f>IF(ISNUMBER(SEARCH(PLAN!$E$2,B371)),MAX(A$2:$A370)+1,0)</f>
        <v>0</v>
      </c>
      <c r="C371" s="28">
        <v>369</v>
      </c>
      <c r="D371" s="28" t="e">
        <f t="shared" si="5"/>
        <v>#N/A</v>
      </c>
    </row>
    <row r="372" spans="1:4" x14ac:dyDescent="0.25">
      <c r="A372" s="34">
        <f>IF(ISNUMBER(SEARCH(PLAN!$E$2,B372)),MAX(A$2:$A371)+1,0)</f>
        <v>0</v>
      </c>
      <c r="C372" s="30">
        <v>370</v>
      </c>
      <c r="D372" s="28" t="e">
        <f t="shared" si="5"/>
        <v>#N/A</v>
      </c>
    </row>
    <row r="373" spans="1:4" x14ac:dyDescent="0.25">
      <c r="A373" s="34">
        <f>IF(ISNUMBER(SEARCH(PLAN!$E$2,B373)),MAX(A$2:$A372)+1,0)</f>
        <v>0</v>
      </c>
      <c r="C373" s="28">
        <v>371</v>
      </c>
      <c r="D373" s="28" t="e">
        <f t="shared" si="5"/>
        <v>#N/A</v>
      </c>
    </row>
    <row r="374" spans="1:4" x14ac:dyDescent="0.25">
      <c r="A374" s="34">
        <f>IF(ISNUMBER(SEARCH(PLAN!$E$2,B374)),MAX(A$2:$A373)+1,0)</f>
        <v>0</v>
      </c>
      <c r="C374" s="30">
        <v>372</v>
      </c>
      <c r="D374" s="28" t="e">
        <f t="shared" si="5"/>
        <v>#N/A</v>
      </c>
    </row>
    <row r="375" spans="1:4" x14ac:dyDescent="0.25">
      <c r="A375" s="34">
        <f>IF(ISNUMBER(SEARCH(PLAN!$E$2,B375)),MAX(A$2:$A374)+1,0)</f>
        <v>0</v>
      </c>
      <c r="C375" s="28">
        <v>373</v>
      </c>
      <c r="D375" s="28" t="e">
        <f t="shared" si="5"/>
        <v>#N/A</v>
      </c>
    </row>
    <row r="376" spans="1:4" x14ac:dyDescent="0.25">
      <c r="A376" s="34">
        <f>IF(ISNUMBER(SEARCH(PLAN!$E$2,B376)),MAX(A$2:$A375)+1,0)</f>
        <v>0</v>
      </c>
      <c r="C376" s="30">
        <v>374</v>
      </c>
      <c r="D376" s="28" t="e">
        <f t="shared" si="5"/>
        <v>#N/A</v>
      </c>
    </row>
    <row r="377" spans="1:4" x14ac:dyDescent="0.25">
      <c r="A377" s="34">
        <f>IF(ISNUMBER(SEARCH(PLAN!$E$2,B377)),MAX(A$2:$A376)+1,0)</f>
        <v>0</v>
      </c>
      <c r="C377" s="28">
        <v>375</v>
      </c>
      <c r="D377" s="28" t="e">
        <f t="shared" si="5"/>
        <v>#N/A</v>
      </c>
    </row>
    <row r="378" spans="1:4" x14ac:dyDescent="0.25">
      <c r="A378" s="34">
        <f>IF(ISNUMBER(SEARCH(PLAN!$E$2,B378)),MAX(A$2:$A377)+1,0)</f>
        <v>0</v>
      </c>
      <c r="C378" s="30">
        <v>376</v>
      </c>
      <c r="D378" s="28" t="e">
        <f t="shared" si="5"/>
        <v>#N/A</v>
      </c>
    </row>
    <row r="379" spans="1:4" x14ac:dyDescent="0.25">
      <c r="A379" s="34">
        <f>IF(ISNUMBER(SEARCH(PLAN!$E$2,B379)),MAX(A$2:$A378)+1,0)</f>
        <v>0</v>
      </c>
      <c r="C379" s="28">
        <v>377</v>
      </c>
      <c r="D379" s="28" t="e">
        <f t="shared" si="5"/>
        <v>#N/A</v>
      </c>
    </row>
    <row r="380" spans="1:4" x14ac:dyDescent="0.25">
      <c r="A380" s="34">
        <f>IF(ISNUMBER(SEARCH(PLAN!$E$2,B380)),MAX(A$2:$A379)+1,0)</f>
        <v>0</v>
      </c>
      <c r="C380" s="30">
        <v>378</v>
      </c>
      <c r="D380" s="28" t="e">
        <f t="shared" si="5"/>
        <v>#N/A</v>
      </c>
    </row>
    <row r="381" spans="1:4" x14ac:dyDescent="0.25">
      <c r="A381" s="34">
        <f>IF(ISNUMBER(SEARCH(PLAN!$E$2,B381)),MAX(A$2:$A380)+1,0)</f>
        <v>0</v>
      </c>
      <c r="C381" s="28">
        <v>379</v>
      </c>
      <c r="D381" s="28" t="e">
        <f t="shared" si="5"/>
        <v>#N/A</v>
      </c>
    </row>
    <row r="382" spans="1:4" x14ac:dyDescent="0.25">
      <c r="A382" s="34">
        <f>IF(ISNUMBER(SEARCH(PLAN!$E$2,B382)),MAX(A$2:$A381)+1,0)</f>
        <v>0</v>
      </c>
      <c r="C382" s="30">
        <v>380</v>
      </c>
      <c r="D382" s="28" t="e">
        <f t="shared" si="5"/>
        <v>#N/A</v>
      </c>
    </row>
    <row r="383" spans="1:4" x14ac:dyDescent="0.25">
      <c r="A383" s="34">
        <f>IF(ISNUMBER(SEARCH(PLAN!$E$2,B383)),MAX(A$2:$A382)+1,0)</f>
        <v>0</v>
      </c>
      <c r="C383" s="28">
        <v>381</v>
      </c>
      <c r="D383" s="28" t="e">
        <f t="shared" si="5"/>
        <v>#N/A</v>
      </c>
    </row>
    <row r="384" spans="1:4" x14ac:dyDescent="0.25">
      <c r="A384" s="34">
        <f>IF(ISNUMBER(SEARCH(PLAN!$E$2,B384)),MAX(A$2:$A383)+1,0)</f>
        <v>0</v>
      </c>
      <c r="C384" s="30">
        <v>382</v>
      </c>
      <c r="D384" s="28" t="e">
        <f t="shared" si="5"/>
        <v>#N/A</v>
      </c>
    </row>
    <row r="385" spans="1:4" x14ac:dyDescent="0.25">
      <c r="A385" s="34">
        <f>IF(ISNUMBER(SEARCH(PLAN!$E$2,B385)),MAX(A$2:$A384)+1,0)</f>
        <v>0</v>
      </c>
      <c r="C385" s="28">
        <v>383</v>
      </c>
      <c r="D385" s="28" t="e">
        <f t="shared" si="5"/>
        <v>#N/A</v>
      </c>
    </row>
    <row r="386" spans="1:4" x14ac:dyDescent="0.25">
      <c r="A386" s="34">
        <f>IF(ISNUMBER(SEARCH(PLAN!$E$2,B386)),MAX(A$2:$A385)+1,0)</f>
        <v>0</v>
      </c>
      <c r="C386" s="30">
        <v>384</v>
      </c>
      <c r="D386" s="28" t="e">
        <f t="shared" si="5"/>
        <v>#N/A</v>
      </c>
    </row>
    <row r="387" spans="1:4" x14ac:dyDescent="0.25">
      <c r="A387" s="34">
        <f>IF(ISNUMBER(SEARCH(PLAN!$E$2,B387)),MAX(A$2:$A386)+1,0)</f>
        <v>0</v>
      </c>
      <c r="C387" s="28">
        <v>385</v>
      </c>
      <c r="D387" s="28" t="e">
        <f t="shared" ref="D387:D450" si="6">VLOOKUP(C387,A:B,2,0)</f>
        <v>#N/A</v>
      </c>
    </row>
    <row r="388" spans="1:4" x14ac:dyDescent="0.25">
      <c r="A388" s="34">
        <f>IF(ISNUMBER(SEARCH(PLAN!$E$2,B388)),MAX(A$2:$A387)+1,0)</f>
        <v>0</v>
      </c>
      <c r="C388" s="30">
        <v>386</v>
      </c>
      <c r="D388" s="28" t="e">
        <f t="shared" si="6"/>
        <v>#N/A</v>
      </c>
    </row>
    <row r="389" spans="1:4" x14ac:dyDescent="0.25">
      <c r="A389" s="34">
        <f>IF(ISNUMBER(SEARCH(PLAN!$E$2,B389)),MAX(A$2:$A388)+1,0)</f>
        <v>0</v>
      </c>
      <c r="C389" s="28">
        <v>387</v>
      </c>
      <c r="D389" s="28" t="e">
        <f t="shared" si="6"/>
        <v>#N/A</v>
      </c>
    </row>
    <row r="390" spans="1:4" x14ac:dyDescent="0.25">
      <c r="A390" s="34">
        <f>IF(ISNUMBER(SEARCH(PLAN!$E$2,B390)),MAX(A$2:$A389)+1,0)</f>
        <v>0</v>
      </c>
      <c r="C390" s="30">
        <v>388</v>
      </c>
      <c r="D390" s="28" t="e">
        <f t="shared" si="6"/>
        <v>#N/A</v>
      </c>
    </row>
    <row r="391" spans="1:4" x14ac:dyDescent="0.25">
      <c r="A391" s="34">
        <f>IF(ISNUMBER(SEARCH(PLAN!$E$2,B391)),MAX(A$2:$A390)+1,0)</f>
        <v>0</v>
      </c>
      <c r="C391" s="28">
        <v>389</v>
      </c>
      <c r="D391" s="28" t="e">
        <f t="shared" si="6"/>
        <v>#N/A</v>
      </c>
    </row>
    <row r="392" spans="1:4" x14ac:dyDescent="0.25">
      <c r="A392" s="34">
        <f>IF(ISNUMBER(SEARCH(PLAN!$E$2,B392)),MAX(A$2:$A391)+1,0)</f>
        <v>0</v>
      </c>
      <c r="C392" s="30">
        <v>390</v>
      </c>
      <c r="D392" s="28" t="e">
        <f t="shared" si="6"/>
        <v>#N/A</v>
      </c>
    </row>
    <row r="393" spans="1:4" x14ac:dyDescent="0.25">
      <c r="A393" s="34">
        <f>IF(ISNUMBER(SEARCH(PLAN!$E$2,B393)),MAX(A$2:$A392)+1,0)</f>
        <v>0</v>
      </c>
      <c r="C393" s="28">
        <v>391</v>
      </c>
      <c r="D393" s="28" t="e">
        <f t="shared" si="6"/>
        <v>#N/A</v>
      </c>
    </row>
    <row r="394" spans="1:4" x14ac:dyDescent="0.25">
      <c r="A394" s="34">
        <f>IF(ISNUMBER(SEARCH(PLAN!$E$2,B394)),MAX(A$2:$A393)+1,0)</f>
        <v>0</v>
      </c>
      <c r="C394" s="30">
        <v>392</v>
      </c>
      <c r="D394" s="28" t="e">
        <f t="shared" si="6"/>
        <v>#N/A</v>
      </c>
    </row>
    <row r="395" spans="1:4" x14ac:dyDescent="0.25">
      <c r="A395" s="34">
        <f>IF(ISNUMBER(SEARCH(PLAN!$E$2,B395)),MAX(A$2:$A394)+1,0)</f>
        <v>0</v>
      </c>
      <c r="C395" s="28">
        <v>393</v>
      </c>
      <c r="D395" s="28" t="e">
        <f t="shared" si="6"/>
        <v>#N/A</v>
      </c>
    </row>
    <row r="396" spans="1:4" x14ac:dyDescent="0.25">
      <c r="A396" s="34">
        <f>IF(ISNUMBER(SEARCH(PLAN!$E$2,B396)),MAX(A$2:$A395)+1,0)</f>
        <v>0</v>
      </c>
      <c r="C396" s="30">
        <v>394</v>
      </c>
      <c r="D396" s="28" t="e">
        <f t="shared" si="6"/>
        <v>#N/A</v>
      </c>
    </row>
    <row r="397" spans="1:4" x14ac:dyDescent="0.25">
      <c r="A397" s="34">
        <f>IF(ISNUMBER(SEARCH(PLAN!$E$2,B397)),MAX(A$2:$A396)+1,0)</f>
        <v>0</v>
      </c>
      <c r="C397" s="28">
        <v>395</v>
      </c>
      <c r="D397" s="28" t="e">
        <f t="shared" si="6"/>
        <v>#N/A</v>
      </c>
    </row>
    <row r="398" spans="1:4" x14ac:dyDescent="0.25">
      <c r="A398" s="34">
        <f>IF(ISNUMBER(SEARCH(PLAN!$E$2,B398)),MAX(A$2:$A397)+1,0)</f>
        <v>0</v>
      </c>
      <c r="C398" s="30">
        <v>396</v>
      </c>
      <c r="D398" s="28" t="e">
        <f t="shared" si="6"/>
        <v>#N/A</v>
      </c>
    </row>
    <row r="399" spans="1:4" x14ac:dyDescent="0.25">
      <c r="A399" s="34">
        <f>IF(ISNUMBER(SEARCH(PLAN!$E$2,B399)),MAX(A$2:$A398)+1,0)</f>
        <v>0</v>
      </c>
      <c r="C399" s="28">
        <v>397</v>
      </c>
      <c r="D399" s="28" t="e">
        <f t="shared" si="6"/>
        <v>#N/A</v>
      </c>
    </row>
    <row r="400" spans="1:4" x14ac:dyDescent="0.25">
      <c r="A400" s="34">
        <f>IF(ISNUMBER(SEARCH(PLAN!$E$2,B400)),MAX(A$2:$A399)+1,0)</f>
        <v>0</v>
      </c>
      <c r="C400" s="30">
        <v>398</v>
      </c>
      <c r="D400" s="28" t="e">
        <f t="shared" si="6"/>
        <v>#N/A</v>
      </c>
    </row>
    <row r="401" spans="1:4" x14ac:dyDescent="0.25">
      <c r="A401" s="34">
        <f>IF(ISNUMBER(SEARCH(PLAN!$E$2,B401)),MAX(A$2:$A400)+1,0)</f>
        <v>0</v>
      </c>
      <c r="C401" s="28">
        <v>399</v>
      </c>
      <c r="D401" s="28" t="e">
        <f t="shared" si="6"/>
        <v>#N/A</v>
      </c>
    </row>
    <row r="402" spans="1:4" x14ac:dyDescent="0.25">
      <c r="A402" s="34">
        <f>IF(ISNUMBER(SEARCH(PLAN!$E$2,B402)),MAX(A$2:$A401)+1,0)</f>
        <v>0</v>
      </c>
      <c r="C402" s="30">
        <v>400</v>
      </c>
      <c r="D402" s="28" t="e">
        <f t="shared" si="6"/>
        <v>#N/A</v>
      </c>
    </row>
    <row r="403" spans="1:4" x14ac:dyDescent="0.25">
      <c r="A403" s="34">
        <f>IF(ISNUMBER(SEARCH(PLAN!$E$2,B403)),MAX(A$2:$A402)+1,0)</f>
        <v>0</v>
      </c>
      <c r="C403" s="28">
        <v>401</v>
      </c>
      <c r="D403" s="28" t="e">
        <f t="shared" si="6"/>
        <v>#N/A</v>
      </c>
    </row>
    <row r="404" spans="1:4" x14ac:dyDescent="0.25">
      <c r="A404" s="34">
        <f>IF(ISNUMBER(SEARCH(PLAN!$E$2,B404)),MAX(A$2:$A403)+1,0)</f>
        <v>0</v>
      </c>
      <c r="C404" s="30">
        <v>402</v>
      </c>
      <c r="D404" s="28" t="e">
        <f t="shared" si="6"/>
        <v>#N/A</v>
      </c>
    </row>
    <row r="405" spans="1:4" x14ac:dyDescent="0.25">
      <c r="A405" s="34">
        <f>IF(ISNUMBER(SEARCH(PLAN!$E$2,B405)),MAX(A$2:$A404)+1,0)</f>
        <v>0</v>
      </c>
      <c r="C405" s="28">
        <v>403</v>
      </c>
      <c r="D405" s="28" t="e">
        <f t="shared" si="6"/>
        <v>#N/A</v>
      </c>
    </row>
    <row r="406" spans="1:4" x14ac:dyDescent="0.25">
      <c r="A406" s="34">
        <f>IF(ISNUMBER(SEARCH(PLAN!$E$2,B406)),MAX(A$2:$A405)+1,0)</f>
        <v>0</v>
      </c>
      <c r="C406" s="30">
        <v>404</v>
      </c>
      <c r="D406" s="28" t="e">
        <f t="shared" si="6"/>
        <v>#N/A</v>
      </c>
    </row>
    <row r="407" spans="1:4" x14ac:dyDescent="0.25">
      <c r="A407" s="34">
        <f>IF(ISNUMBER(SEARCH(PLAN!$E$2,B407)),MAX(A$2:$A406)+1,0)</f>
        <v>0</v>
      </c>
      <c r="C407" s="28">
        <v>405</v>
      </c>
      <c r="D407" s="28" t="e">
        <f t="shared" si="6"/>
        <v>#N/A</v>
      </c>
    </row>
    <row r="408" spans="1:4" x14ac:dyDescent="0.25">
      <c r="A408" s="34">
        <f>IF(ISNUMBER(SEARCH(PLAN!$E$2,B408)),MAX(A$2:$A407)+1,0)</f>
        <v>0</v>
      </c>
      <c r="C408" s="30">
        <v>406</v>
      </c>
      <c r="D408" s="28" t="e">
        <f t="shared" si="6"/>
        <v>#N/A</v>
      </c>
    </row>
    <row r="409" spans="1:4" x14ac:dyDescent="0.25">
      <c r="A409" s="34">
        <f>IF(ISNUMBER(SEARCH(PLAN!$E$2,B409)),MAX(A$2:$A408)+1,0)</f>
        <v>0</v>
      </c>
      <c r="C409" s="28">
        <v>407</v>
      </c>
      <c r="D409" s="28" t="e">
        <f t="shared" si="6"/>
        <v>#N/A</v>
      </c>
    </row>
    <row r="410" spans="1:4" x14ac:dyDescent="0.25">
      <c r="A410" s="34">
        <f>IF(ISNUMBER(SEARCH(PLAN!$E$2,B410)),MAX(A$2:$A409)+1,0)</f>
        <v>0</v>
      </c>
      <c r="C410" s="30">
        <v>408</v>
      </c>
      <c r="D410" s="28" t="e">
        <f t="shared" si="6"/>
        <v>#N/A</v>
      </c>
    </row>
    <row r="411" spans="1:4" x14ac:dyDescent="0.25">
      <c r="A411" s="34">
        <f>IF(ISNUMBER(SEARCH(PLAN!$E$2,B411)),MAX(A$2:$A410)+1,0)</f>
        <v>0</v>
      </c>
      <c r="C411" s="28">
        <v>409</v>
      </c>
      <c r="D411" s="28" t="e">
        <f t="shared" si="6"/>
        <v>#N/A</v>
      </c>
    </row>
    <row r="412" spans="1:4" x14ac:dyDescent="0.25">
      <c r="A412" s="34">
        <f>IF(ISNUMBER(SEARCH(PLAN!$E$2,B412)),MAX(A$2:$A411)+1,0)</f>
        <v>0</v>
      </c>
      <c r="C412" s="30">
        <v>410</v>
      </c>
      <c r="D412" s="28" t="e">
        <f t="shared" si="6"/>
        <v>#N/A</v>
      </c>
    </row>
    <row r="413" spans="1:4" x14ac:dyDescent="0.25">
      <c r="A413" s="34">
        <f>IF(ISNUMBER(SEARCH(PLAN!$E$2,B413)),MAX(A$2:$A412)+1,0)</f>
        <v>0</v>
      </c>
      <c r="C413" s="28">
        <v>411</v>
      </c>
      <c r="D413" s="28" t="e">
        <f t="shared" si="6"/>
        <v>#N/A</v>
      </c>
    </row>
    <row r="414" spans="1:4" x14ac:dyDescent="0.25">
      <c r="A414" s="34">
        <f>IF(ISNUMBER(SEARCH(PLAN!$E$2,B414)),MAX(A$2:$A413)+1,0)</f>
        <v>0</v>
      </c>
      <c r="C414" s="30">
        <v>412</v>
      </c>
      <c r="D414" s="28" t="e">
        <f t="shared" si="6"/>
        <v>#N/A</v>
      </c>
    </row>
    <row r="415" spans="1:4" x14ac:dyDescent="0.25">
      <c r="A415" s="34">
        <f>IF(ISNUMBER(SEARCH(PLAN!$E$2,B415)),MAX(A$2:$A414)+1,0)</f>
        <v>0</v>
      </c>
      <c r="C415" s="28">
        <v>413</v>
      </c>
      <c r="D415" s="28" t="e">
        <f t="shared" si="6"/>
        <v>#N/A</v>
      </c>
    </row>
    <row r="416" spans="1:4" x14ac:dyDescent="0.25">
      <c r="A416" s="34">
        <f>IF(ISNUMBER(SEARCH(PLAN!$E$2,B416)),MAX(A$2:$A415)+1,0)</f>
        <v>0</v>
      </c>
      <c r="C416" s="30">
        <v>414</v>
      </c>
      <c r="D416" s="28" t="e">
        <f t="shared" si="6"/>
        <v>#N/A</v>
      </c>
    </row>
    <row r="417" spans="1:4" x14ac:dyDescent="0.25">
      <c r="A417" s="34">
        <f>IF(ISNUMBER(SEARCH(PLAN!$E$2,B417)),MAX(A$2:$A416)+1,0)</f>
        <v>0</v>
      </c>
      <c r="C417" s="28">
        <v>415</v>
      </c>
      <c r="D417" s="28" t="e">
        <f t="shared" si="6"/>
        <v>#N/A</v>
      </c>
    </row>
    <row r="418" spans="1:4" x14ac:dyDescent="0.25">
      <c r="A418" s="34">
        <f>IF(ISNUMBER(SEARCH(PLAN!$E$2,B418)),MAX(A$2:$A417)+1,0)</f>
        <v>0</v>
      </c>
      <c r="B418" s="12"/>
      <c r="C418" s="30">
        <v>416</v>
      </c>
      <c r="D418" s="28" t="e">
        <f t="shared" si="6"/>
        <v>#N/A</v>
      </c>
    </row>
    <row r="419" spans="1:4" x14ac:dyDescent="0.25">
      <c r="A419" s="34">
        <f>IF(ISNUMBER(SEARCH(PLAN!$E$2,B419)),MAX(A$2:$A418)+1,0)</f>
        <v>0</v>
      </c>
      <c r="C419" s="28">
        <v>417</v>
      </c>
      <c r="D419" s="28" t="e">
        <f t="shared" si="6"/>
        <v>#N/A</v>
      </c>
    </row>
    <row r="420" spans="1:4" x14ac:dyDescent="0.25">
      <c r="A420" s="34">
        <f>IF(ISNUMBER(SEARCH(PLAN!$E$2,B420)),MAX(A$2:$A419)+1,0)</f>
        <v>0</v>
      </c>
      <c r="C420" s="30">
        <v>418</v>
      </c>
      <c r="D420" s="28" t="e">
        <f t="shared" si="6"/>
        <v>#N/A</v>
      </c>
    </row>
    <row r="421" spans="1:4" x14ac:dyDescent="0.25">
      <c r="A421" s="34">
        <f>IF(ISNUMBER(SEARCH(PLAN!$E$2,B421)),MAX(A$2:$A420)+1,0)</f>
        <v>0</v>
      </c>
      <c r="C421" s="28">
        <v>419</v>
      </c>
      <c r="D421" s="28" t="e">
        <f t="shared" si="6"/>
        <v>#N/A</v>
      </c>
    </row>
    <row r="422" spans="1:4" x14ac:dyDescent="0.25">
      <c r="A422" s="34">
        <f>IF(ISNUMBER(SEARCH(PLAN!$E$2,B422)),MAX(A$2:$A421)+1,0)</f>
        <v>0</v>
      </c>
      <c r="C422" s="30">
        <v>420</v>
      </c>
      <c r="D422" s="28" t="e">
        <f t="shared" si="6"/>
        <v>#N/A</v>
      </c>
    </row>
    <row r="423" spans="1:4" x14ac:dyDescent="0.25">
      <c r="A423" s="34">
        <f>IF(ISNUMBER(SEARCH(PLAN!$E$2,B423)),MAX(A$2:$A422)+1,0)</f>
        <v>0</v>
      </c>
      <c r="B423" s="1"/>
      <c r="C423" s="28">
        <v>421</v>
      </c>
      <c r="D423" s="28" t="e">
        <f t="shared" si="6"/>
        <v>#N/A</v>
      </c>
    </row>
    <row r="424" spans="1:4" x14ac:dyDescent="0.25">
      <c r="A424" s="34">
        <f>IF(ISNUMBER(SEARCH(PLAN!$E$2,B424)),MAX(A$2:$A423)+1,0)</f>
        <v>0</v>
      </c>
      <c r="C424" s="30">
        <v>422</v>
      </c>
      <c r="D424" s="28" t="e">
        <f t="shared" si="6"/>
        <v>#N/A</v>
      </c>
    </row>
    <row r="425" spans="1:4" x14ac:dyDescent="0.25">
      <c r="A425" s="34">
        <f>IF(ISNUMBER(SEARCH(PLAN!$E$2,B425)),MAX(A$2:$A424)+1,0)</f>
        <v>0</v>
      </c>
      <c r="C425" s="28">
        <v>423</v>
      </c>
      <c r="D425" s="28" t="e">
        <f t="shared" si="6"/>
        <v>#N/A</v>
      </c>
    </row>
    <row r="426" spans="1:4" x14ac:dyDescent="0.25">
      <c r="A426" s="34">
        <f>IF(ISNUMBER(SEARCH(PLAN!$E$2,B426)),MAX(A$2:$A425)+1,0)</f>
        <v>0</v>
      </c>
      <c r="C426" s="30">
        <v>424</v>
      </c>
      <c r="D426" s="28" t="e">
        <f t="shared" si="6"/>
        <v>#N/A</v>
      </c>
    </row>
    <row r="427" spans="1:4" x14ac:dyDescent="0.25">
      <c r="A427" s="34">
        <f>IF(ISNUMBER(SEARCH(PLAN!$E$2,B427)),MAX(A$2:$A426)+1,0)</f>
        <v>0</v>
      </c>
      <c r="C427" s="28">
        <v>425</v>
      </c>
      <c r="D427" s="28" t="e">
        <f t="shared" si="6"/>
        <v>#N/A</v>
      </c>
    </row>
    <row r="428" spans="1:4" x14ac:dyDescent="0.25">
      <c r="A428" s="34">
        <f>IF(ISNUMBER(SEARCH(PLAN!$E$2,B428)),MAX(A$2:$A427)+1,0)</f>
        <v>0</v>
      </c>
      <c r="B428" s="12"/>
      <c r="C428" s="30">
        <v>426</v>
      </c>
      <c r="D428" s="28" t="e">
        <f t="shared" si="6"/>
        <v>#N/A</v>
      </c>
    </row>
    <row r="429" spans="1:4" x14ac:dyDescent="0.25">
      <c r="A429" s="34">
        <f>IF(ISNUMBER(SEARCH(PLAN!$E$2,B429)),MAX(A$2:$A428)+1,0)</f>
        <v>0</v>
      </c>
      <c r="C429" s="28">
        <v>427</v>
      </c>
      <c r="D429" s="28" t="e">
        <f t="shared" si="6"/>
        <v>#N/A</v>
      </c>
    </row>
    <row r="430" spans="1:4" x14ac:dyDescent="0.25">
      <c r="A430" s="34">
        <f>IF(ISNUMBER(SEARCH(PLAN!$E$2,B430)),MAX(A$2:$A429)+1,0)</f>
        <v>0</v>
      </c>
      <c r="C430" s="30">
        <v>428</v>
      </c>
      <c r="D430" s="28" t="e">
        <f t="shared" si="6"/>
        <v>#N/A</v>
      </c>
    </row>
    <row r="431" spans="1:4" x14ac:dyDescent="0.25">
      <c r="A431" s="34">
        <f>IF(ISNUMBER(SEARCH(PLAN!$E$2,B431)),MAX(A$2:$A430)+1,0)</f>
        <v>0</v>
      </c>
      <c r="C431" s="28">
        <v>429</v>
      </c>
      <c r="D431" s="28" t="e">
        <f t="shared" si="6"/>
        <v>#N/A</v>
      </c>
    </row>
    <row r="432" spans="1:4" x14ac:dyDescent="0.25">
      <c r="A432" s="34">
        <f>IF(ISNUMBER(SEARCH(PLAN!$E$2,B432)),MAX(A$2:$A431)+1,0)</f>
        <v>0</v>
      </c>
      <c r="C432" s="30">
        <v>430</v>
      </c>
      <c r="D432" s="28" t="e">
        <f t="shared" si="6"/>
        <v>#N/A</v>
      </c>
    </row>
    <row r="433" spans="1:4" x14ac:dyDescent="0.25">
      <c r="A433" s="34">
        <f>IF(ISNUMBER(SEARCH(PLAN!$E$2,B433)),MAX(A$2:$A432)+1,0)</f>
        <v>0</v>
      </c>
      <c r="C433" s="28">
        <v>431</v>
      </c>
      <c r="D433" s="28" t="e">
        <f t="shared" si="6"/>
        <v>#N/A</v>
      </c>
    </row>
    <row r="434" spans="1:4" x14ac:dyDescent="0.25">
      <c r="A434" s="34">
        <f>IF(ISNUMBER(SEARCH(PLAN!$E$2,B434)),MAX(A$2:$A433)+1,0)</f>
        <v>0</v>
      </c>
      <c r="C434" s="30">
        <v>432</v>
      </c>
      <c r="D434" s="28" t="e">
        <f t="shared" si="6"/>
        <v>#N/A</v>
      </c>
    </row>
    <row r="435" spans="1:4" x14ac:dyDescent="0.25">
      <c r="A435" s="34">
        <f>IF(ISNUMBER(SEARCH(PLAN!$E$2,B435)),MAX(A$2:$A434)+1,0)</f>
        <v>0</v>
      </c>
      <c r="B435" s="12"/>
      <c r="C435" s="28">
        <v>433</v>
      </c>
      <c r="D435" s="28" t="e">
        <f t="shared" si="6"/>
        <v>#N/A</v>
      </c>
    </row>
    <row r="436" spans="1:4" x14ac:dyDescent="0.25">
      <c r="A436" s="34">
        <f>IF(ISNUMBER(SEARCH(PLAN!$E$2,B436)),MAX(A$2:$A435)+1,0)</f>
        <v>0</v>
      </c>
      <c r="B436" s="12"/>
      <c r="C436" s="30">
        <v>434</v>
      </c>
      <c r="D436" s="28" t="e">
        <f t="shared" si="6"/>
        <v>#N/A</v>
      </c>
    </row>
    <row r="437" spans="1:4" x14ac:dyDescent="0.25">
      <c r="A437" s="34">
        <f>IF(ISNUMBER(SEARCH(PLAN!$E$2,B437)),MAX(A$2:$A436)+1,0)</f>
        <v>0</v>
      </c>
      <c r="B437" s="12"/>
      <c r="C437" s="28">
        <v>435</v>
      </c>
      <c r="D437" s="28" t="e">
        <f t="shared" si="6"/>
        <v>#N/A</v>
      </c>
    </row>
    <row r="438" spans="1:4" x14ac:dyDescent="0.25">
      <c r="A438" s="34">
        <f>IF(ISNUMBER(SEARCH(PLAN!$E$2,B438)),MAX(A$2:$A437)+1,0)</f>
        <v>0</v>
      </c>
      <c r="B438" s="12"/>
      <c r="C438" s="30">
        <v>436</v>
      </c>
      <c r="D438" s="28" t="e">
        <f t="shared" si="6"/>
        <v>#N/A</v>
      </c>
    </row>
    <row r="439" spans="1:4" x14ac:dyDescent="0.25">
      <c r="A439" s="34">
        <f>IF(ISNUMBER(SEARCH(PLAN!$E$2,B439)),MAX(A$2:$A438)+1,0)</f>
        <v>0</v>
      </c>
      <c r="B439" s="12"/>
      <c r="C439" s="28">
        <v>437</v>
      </c>
      <c r="D439" s="28" t="e">
        <f t="shared" si="6"/>
        <v>#N/A</v>
      </c>
    </row>
    <row r="440" spans="1:4" x14ac:dyDescent="0.25">
      <c r="A440" s="34">
        <f>IF(ISNUMBER(SEARCH(PLAN!$E$2,B440)),MAX(A$2:$A439)+1,0)</f>
        <v>0</v>
      </c>
      <c r="B440" s="12"/>
      <c r="C440" s="30">
        <v>438</v>
      </c>
      <c r="D440" s="28" t="e">
        <f t="shared" si="6"/>
        <v>#N/A</v>
      </c>
    </row>
    <row r="441" spans="1:4" x14ac:dyDescent="0.25">
      <c r="A441" s="34">
        <f>IF(ISNUMBER(SEARCH(PLAN!$E$2,B441)),MAX(A$2:$A440)+1,0)</f>
        <v>0</v>
      </c>
      <c r="C441" s="28">
        <v>439</v>
      </c>
      <c r="D441" s="28" t="e">
        <f t="shared" si="6"/>
        <v>#N/A</v>
      </c>
    </row>
    <row r="442" spans="1:4" x14ac:dyDescent="0.25">
      <c r="A442" s="34">
        <f>IF(ISNUMBER(SEARCH(PLAN!$E$2,B442)),MAX(A$2:$A441)+1,0)</f>
        <v>0</v>
      </c>
      <c r="C442" s="30">
        <v>440</v>
      </c>
      <c r="D442" s="28" t="e">
        <f t="shared" si="6"/>
        <v>#N/A</v>
      </c>
    </row>
    <row r="443" spans="1:4" x14ac:dyDescent="0.25">
      <c r="A443" s="34">
        <f>IF(ISNUMBER(SEARCH(PLAN!$E$2,B443)),MAX(A$2:$A442)+1,0)</f>
        <v>0</v>
      </c>
      <c r="C443" s="28">
        <v>441</v>
      </c>
      <c r="D443" s="28" t="e">
        <f t="shared" si="6"/>
        <v>#N/A</v>
      </c>
    </row>
    <row r="444" spans="1:4" x14ac:dyDescent="0.25">
      <c r="A444" s="34">
        <f>IF(ISNUMBER(SEARCH(PLAN!$E$2,B444)),MAX(A$2:$A443)+1,0)</f>
        <v>0</v>
      </c>
      <c r="C444" s="30">
        <v>442</v>
      </c>
      <c r="D444" s="28" t="e">
        <f t="shared" si="6"/>
        <v>#N/A</v>
      </c>
    </row>
    <row r="445" spans="1:4" x14ac:dyDescent="0.25">
      <c r="A445" s="34">
        <f>IF(ISNUMBER(SEARCH(PLAN!$E$2,B445)),MAX(A$2:$A444)+1,0)</f>
        <v>0</v>
      </c>
      <c r="C445" s="28">
        <v>443</v>
      </c>
      <c r="D445" s="28" t="e">
        <f t="shared" si="6"/>
        <v>#N/A</v>
      </c>
    </row>
    <row r="446" spans="1:4" x14ac:dyDescent="0.25">
      <c r="A446" s="34">
        <f>IF(ISNUMBER(SEARCH(PLAN!$E$2,B446)),MAX(A$2:$A445)+1,0)</f>
        <v>0</v>
      </c>
      <c r="C446" s="30">
        <v>444</v>
      </c>
      <c r="D446" s="28" t="e">
        <f t="shared" si="6"/>
        <v>#N/A</v>
      </c>
    </row>
    <row r="447" spans="1:4" x14ac:dyDescent="0.25">
      <c r="A447" s="34">
        <f>IF(ISNUMBER(SEARCH(PLAN!$E$2,B447)),MAX(A$2:$A446)+1,0)</f>
        <v>0</v>
      </c>
      <c r="C447" s="28">
        <v>445</v>
      </c>
      <c r="D447" s="28" t="e">
        <f t="shared" si="6"/>
        <v>#N/A</v>
      </c>
    </row>
    <row r="448" spans="1:4" x14ac:dyDescent="0.25">
      <c r="A448" s="34">
        <f>IF(ISNUMBER(SEARCH(PLAN!$E$2,B448)),MAX(A$2:$A447)+1,0)</f>
        <v>0</v>
      </c>
      <c r="C448" s="30">
        <v>446</v>
      </c>
      <c r="D448" s="28" t="e">
        <f t="shared" si="6"/>
        <v>#N/A</v>
      </c>
    </row>
    <row r="449" spans="1:4" x14ac:dyDescent="0.25">
      <c r="A449" s="34">
        <f>IF(ISNUMBER(SEARCH(PLAN!$E$2,B449)),MAX(A$2:$A448)+1,0)</f>
        <v>0</v>
      </c>
      <c r="C449" s="28">
        <v>447</v>
      </c>
      <c r="D449" s="28" t="e">
        <f t="shared" si="6"/>
        <v>#N/A</v>
      </c>
    </row>
    <row r="450" spans="1:4" x14ac:dyDescent="0.25">
      <c r="A450" s="34">
        <f>IF(ISNUMBER(SEARCH(PLAN!$E$2,B450)),MAX(A$2:$A449)+1,0)</f>
        <v>0</v>
      </c>
      <c r="C450" s="30">
        <v>448</v>
      </c>
      <c r="D450" s="28" t="e">
        <f t="shared" si="6"/>
        <v>#N/A</v>
      </c>
    </row>
    <row r="451" spans="1:4" x14ac:dyDescent="0.25">
      <c r="A451" s="34">
        <f>IF(ISNUMBER(SEARCH(PLAN!$E$2,B451)),MAX(A$2:$A450)+1,0)</f>
        <v>0</v>
      </c>
      <c r="C451" s="28">
        <v>449</v>
      </c>
      <c r="D451" s="28" t="e">
        <f t="shared" ref="D451:D482" si="7">VLOOKUP(C451,A:B,2,0)</f>
        <v>#N/A</v>
      </c>
    </row>
    <row r="452" spans="1:4" x14ac:dyDescent="0.25">
      <c r="A452" s="34">
        <f>IF(ISNUMBER(SEARCH(PLAN!$E$2,B452)),MAX(A$2:$A451)+1,0)</f>
        <v>0</v>
      </c>
      <c r="C452" s="30">
        <v>450</v>
      </c>
      <c r="D452" s="28" t="e">
        <f t="shared" si="7"/>
        <v>#N/A</v>
      </c>
    </row>
    <row r="453" spans="1:4" x14ac:dyDescent="0.25">
      <c r="A453" s="34">
        <f>IF(ISNUMBER(SEARCH(PLAN!$E$2,B453)),MAX(A$2:$A452)+1,0)</f>
        <v>0</v>
      </c>
      <c r="C453" s="28">
        <v>451</v>
      </c>
      <c r="D453" s="28" t="e">
        <f t="shared" si="7"/>
        <v>#N/A</v>
      </c>
    </row>
    <row r="454" spans="1:4" x14ac:dyDescent="0.25">
      <c r="A454" s="34">
        <f>IF(ISNUMBER(SEARCH(PLAN!$E$2,B454)),MAX(A$2:$A453)+1,0)</f>
        <v>0</v>
      </c>
      <c r="C454" s="30">
        <v>452</v>
      </c>
      <c r="D454" s="28" t="e">
        <f t="shared" si="7"/>
        <v>#N/A</v>
      </c>
    </row>
    <row r="455" spans="1:4" x14ac:dyDescent="0.25">
      <c r="A455" s="34">
        <f>IF(ISNUMBER(SEARCH(PLAN!$E$2,B455)),MAX(A$2:$A454)+1,0)</f>
        <v>0</v>
      </c>
      <c r="C455" s="28">
        <v>453</v>
      </c>
      <c r="D455" s="28" t="e">
        <f t="shared" si="7"/>
        <v>#N/A</v>
      </c>
    </row>
    <row r="456" spans="1:4" x14ac:dyDescent="0.25">
      <c r="A456" s="34">
        <f>IF(ISNUMBER(SEARCH(PLAN!$E$2,B456)),MAX(A$2:$A455)+1,0)</f>
        <v>0</v>
      </c>
      <c r="C456" s="30">
        <v>454</v>
      </c>
      <c r="D456" s="28" t="e">
        <f t="shared" si="7"/>
        <v>#N/A</v>
      </c>
    </row>
    <row r="457" spans="1:4" x14ac:dyDescent="0.25">
      <c r="A457" s="34">
        <f>IF(ISNUMBER(SEARCH(PLAN!$E$2,B457)),MAX(A$2:$A456)+1,0)</f>
        <v>0</v>
      </c>
      <c r="C457" s="28">
        <v>455</v>
      </c>
      <c r="D457" s="28" t="e">
        <f t="shared" si="7"/>
        <v>#N/A</v>
      </c>
    </row>
    <row r="458" spans="1:4" x14ac:dyDescent="0.25">
      <c r="A458" s="34">
        <f>IF(ISNUMBER(SEARCH(PLAN!$E$2,B458)),MAX(A$2:$A457)+1,0)</f>
        <v>0</v>
      </c>
      <c r="C458" s="30">
        <v>456</v>
      </c>
      <c r="D458" s="28" t="e">
        <f t="shared" si="7"/>
        <v>#N/A</v>
      </c>
    </row>
    <row r="459" spans="1:4" x14ac:dyDescent="0.25">
      <c r="A459" s="34">
        <f>IF(ISNUMBER(SEARCH(PLAN!$E$2,B459)),MAX(A$2:$A458)+1,0)</f>
        <v>0</v>
      </c>
      <c r="C459" s="28">
        <v>457</v>
      </c>
      <c r="D459" s="28" t="e">
        <f t="shared" si="7"/>
        <v>#N/A</v>
      </c>
    </row>
    <row r="460" spans="1:4" x14ac:dyDescent="0.25">
      <c r="A460" s="34">
        <f>IF(ISNUMBER(SEARCH(PLAN!$E$2,B460)),MAX(A$2:$A459)+1,0)</f>
        <v>0</v>
      </c>
      <c r="C460" s="30">
        <v>458</v>
      </c>
      <c r="D460" s="28" t="e">
        <f t="shared" si="7"/>
        <v>#N/A</v>
      </c>
    </row>
    <row r="461" spans="1:4" x14ac:dyDescent="0.25">
      <c r="A461" s="34">
        <f>IF(ISNUMBER(SEARCH(PLAN!$E$2,B461)),MAX(A$2:$A460)+1,0)</f>
        <v>0</v>
      </c>
      <c r="C461" s="28">
        <v>459</v>
      </c>
      <c r="D461" s="28" t="e">
        <f t="shared" si="7"/>
        <v>#N/A</v>
      </c>
    </row>
    <row r="462" spans="1:4" x14ac:dyDescent="0.25">
      <c r="A462" s="34">
        <f>IF(ISNUMBER(SEARCH(PLAN!$E$2,B462)),MAX(A$2:$A461)+1,0)</f>
        <v>0</v>
      </c>
      <c r="C462" s="30">
        <v>460</v>
      </c>
      <c r="D462" s="28" t="e">
        <f t="shared" si="7"/>
        <v>#N/A</v>
      </c>
    </row>
    <row r="463" spans="1:4" x14ac:dyDescent="0.25">
      <c r="A463" s="34">
        <f>IF(ISNUMBER(SEARCH(PLAN!$E$2,B463)),MAX(A$2:$A462)+1,0)</f>
        <v>0</v>
      </c>
      <c r="C463" s="28">
        <v>461</v>
      </c>
      <c r="D463" s="28" t="e">
        <f t="shared" si="7"/>
        <v>#N/A</v>
      </c>
    </row>
    <row r="464" spans="1:4" x14ac:dyDescent="0.25">
      <c r="A464" s="34">
        <f>IF(ISNUMBER(SEARCH(PLAN!$E$2,B464)),MAX(A$2:$A463)+1,0)</f>
        <v>0</v>
      </c>
      <c r="C464" s="30">
        <v>462</v>
      </c>
      <c r="D464" s="28" t="e">
        <f t="shared" si="7"/>
        <v>#N/A</v>
      </c>
    </row>
    <row r="465" spans="1:4" x14ac:dyDescent="0.25">
      <c r="A465" s="34">
        <f>IF(ISNUMBER(SEARCH(PLAN!$E$2,B465)),MAX(A$2:$A464)+1,0)</f>
        <v>0</v>
      </c>
      <c r="C465" s="28">
        <v>463</v>
      </c>
      <c r="D465" s="28" t="e">
        <f t="shared" si="7"/>
        <v>#N/A</v>
      </c>
    </row>
    <row r="466" spans="1:4" x14ac:dyDescent="0.25">
      <c r="A466" s="34">
        <f>IF(ISNUMBER(SEARCH(PLAN!$E$2,B466)),MAX(A$2:$A465)+1,0)</f>
        <v>0</v>
      </c>
      <c r="C466" s="30">
        <v>464</v>
      </c>
      <c r="D466" s="28" t="e">
        <f t="shared" si="7"/>
        <v>#N/A</v>
      </c>
    </row>
    <row r="467" spans="1:4" x14ac:dyDescent="0.25">
      <c r="A467" s="34">
        <f>IF(ISNUMBER(SEARCH(PLAN!$E$2,B467)),MAX(A$2:$A466)+1,0)</f>
        <v>0</v>
      </c>
      <c r="C467" s="28">
        <v>465</v>
      </c>
      <c r="D467" s="28" t="e">
        <f t="shared" si="7"/>
        <v>#N/A</v>
      </c>
    </row>
    <row r="468" spans="1:4" x14ac:dyDescent="0.25">
      <c r="A468" s="34">
        <f>IF(ISNUMBER(SEARCH(PLAN!$E$2,B468)),MAX(A$2:$A467)+1,0)</f>
        <v>0</v>
      </c>
      <c r="C468" s="30">
        <v>466</v>
      </c>
      <c r="D468" s="28" t="e">
        <f t="shared" si="7"/>
        <v>#N/A</v>
      </c>
    </row>
    <row r="469" spans="1:4" x14ac:dyDescent="0.25">
      <c r="A469" s="34">
        <f>IF(ISNUMBER(SEARCH(PLAN!$E$2,B469)),MAX(A$2:$A468)+1,0)</f>
        <v>0</v>
      </c>
      <c r="C469" s="28">
        <v>467</v>
      </c>
      <c r="D469" s="28" t="e">
        <f t="shared" si="7"/>
        <v>#N/A</v>
      </c>
    </row>
    <row r="470" spans="1:4" x14ac:dyDescent="0.25">
      <c r="A470" s="34">
        <f>IF(ISNUMBER(SEARCH(PLAN!$E$2,B470)),MAX(A$2:$A469)+1,0)</f>
        <v>0</v>
      </c>
      <c r="C470" s="30">
        <v>468</v>
      </c>
      <c r="D470" s="28" t="e">
        <f t="shared" si="7"/>
        <v>#N/A</v>
      </c>
    </row>
    <row r="471" spans="1:4" x14ac:dyDescent="0.25">
      <c r="A471" s="34">
        <f>IF(ISNUMBER(SEARCH(PLAN!$E$2,B471)),MAX(A$2:$A470)+1,0)</f>
        <v>0</v>
      </c>
      <c r="C471" s="28">
        <v>469</v>
      </c>
      <c r="D471" s="28" t="e">
        <f t="shared" si="7"/>
        <v>#N/A</v>
      </c>
    </row>
    <row r="472" spans="1:4" x14ac:dyDescent="0.25">
      <c r="A472" s="34">
        <f>IF(ISNUMBER(SEARCH(PLAN!$E$2,B472)),MAX(A$2:$A471)+1,0)</f>
        <v>0</v>
      </c>
      <c r="C472" s="30">
        <v>470</v>
      </c>
      <c r="D472" s="28" t="e">
        <f t="shared" si="7"/>
        <v>#N/A</v>
      </c>
    </row>
    <row r="473" spans="1:4" x14ac:dyDescent="0.25">
      <c r="A473" s="34">
        <f>IF(ISNUMBER(SEARCH(PLAN!$E$2,B473)),MAX(A$2:$A472)+1,0)</f>
        <v>0</v>
      </c>
      <c r="C473" s="28">
        <v>471</v>
      </c>
      <c r="D473" s="28" t="e">
        <f t="shared" si="7"/>
        <v>#N/A</v>
      </c>
    </row>
    <row r="474" spans="1:4" x14ac:dyDescent="0.25">
      <c r="A474" s="34">
        <f>IF(ISNUMBER(SEARCH(PLAN!$E$2,B474)),MAX(A$2:$A473)+1,0)</f>
        <v>0</v>
      </c>
      <c r="C474" s="30">
        <v>472</v>
      </c>
      <c r="D474" s="28" t="e">
        <f t="shared" si="7"/>
        <v>#N/A</v>
      </c>
    </row>
    <row r="475" spans="1:4" x14ac:dyDescent="0.25">
      <c r="A475" s="34">
        <f>IF(ISNUMBER(SEARCH(PLAN!$E$2,B475)),MAX(A$2:$A474)+1,0)</f>
        <v>0</v>
      </c>
      <c r="C475" s="28">
        <v>473</v>
      </c>
      <c r="D475" s="28" t="e">
        <f t="shared" si="7"/>
        <v>#N/A</v>
      </c>
    </row>
    <row r="476" spans="1:4" x14ac:dyDescent="0.25">
      <c r="A476" s="34">
        <f>IF(ISNUMBER(SEARCH(PLAN!$E$2,B476)),MAX(A$2:$A475)+1,0)</f>
        <v>0</v>
      </c>
      <c r="C476" s="30">
        <v>474</v>
      </c>
      <c r="D476" s="28" t="e">
        <f t="shared" si="7"/>
        <v>#N/A</v>
      </c>
    </row>
    <row r="477" spans="1:4" x14ac:dyDescent="0.25">
      <c r="A477" s="34">
        <f>IF(ISNUMBER(SEARCH(PLAN!$E$2,B477)),MAX(A$2:$A476)+1,0)</f>
        <v>0</v>
      </c>
      <c r="C477" s="28">
        <v>475</v>
      </c>
      <c r="D477" s="28" t="e">
        <f t="shared" si="7"/>
        <v>#N/A</v>
      </c>
    </row>
    <row r="478" spans="1:4" x14ac:dyDescent="0.25">
      <c r="A478" s="34">
        <f>IF(ISNUMBER(SEARCH(PLAN!$E$2,B478)),MAX(A$2:$A477)+1,0)</f>
        <v>0</v>
      </c>
      <c r="C478" s="30">
        <v>476</v>
      </c>
      <c r="D478" s="28" t="e">
        <f t="shared" si="7"/>
        <v>#N/A</v>
      </c>
    </row>
    <row r="479" spans="1:4" x14ac:dyDescent="0.25">
      <c r="A479" s="34">
        <f>IF(ISNUMBER(SEARCH(PLAN!$E$2,B479)),MAX(A$2:$A478)+1,0)</f>
        <v>0</v>
      </c>
      <c r="C479" s="28">
        <v>477</v>
      </c>
      <c r="D479" s="28" t="e">
        <f t="shared" si="7"/>
        <v>#N/A</v>
      </c>
    </row>
    <row r="480" spans="1:4" x14ac:dyDescent="0.25">
      <c r="A480" s="34">
        <f>IF(ISNUMBER(SEARCH(PLAN!$E$2,B480)),MAX(A$2:$A479)+1,0)</f>
        <v>0</v>
      </c>
      <c r="C480" s="30">
        <v>478</v>
      </c>
      <c r="D480" s="28" t="e">
        <f t="shared" si="7"/>
        <v>#N/A</v>
      </c>
    </row>
    <row r="481" spans="1:4" x14ac:dyDescent="0.25">
      <c r="A481" s="34">
        <f>IF(ISNUMBER(SEARCH(PLAN!$E$2,B481)),MAX(A$2:$A480)+1,0)</f>
        <v>0</v>
      </c>
      <c r="C481" s="28">
        <v>479</v>
      </c>
      <c r="D481" s="28" t="e">
        <f t="shared" si="7"/>
        <v>#N/A</v>
      </c>
    </row>
    <row r="482" spans="1:4" x14ac:dyDescent="0.25">
      <c r="A482" s="34">
        <f>IF(ISNUMBER(SEARCH(PLAN!$E$2,B482)),MAX(A$2:$A481)+1,0)</f>
        <v>0</v>
      </c>
      <c r="C482" s="30">
        <v>480</v>
      </c>
      <c r="D482" s="28" t="e">
        <f t="shared" si="7"/>
        <v>#N/A</v>
      </c>
    </row>
    <row r="483" spans="1:4" x14ac:dyDescent="0.25">
      <c r="A483" s="34">
        <f>IF(ISNUMBER(SEARCH(PLAN!$E$2,B483)),MAX(A$2:$A482)+1,0)</f>
        <v>0</v>
      </c>
    </row>
    <row r="484" spans="1:4" x14ac:dyDescent="0.25">
      <c r="A484" s="34">
        <f>IF(ISNUMBER(SEARCH(PLAN!$E$2,B484)),MAX(A$2:$A483)+1,0)</f>
        <v>0</v>
      </c>
    </row>
    <row r="485" spans="1:4" x14ac:dyDescent="0.25">
      <c r="A485" s="34">
        <f>IF(ISNUMBER(SEARCH(PLAN!$E$2,B485)),MAX(A$2:$A484)+1,0)</f>
        <v>0</v>
      </c>
    </row>
    <row r="486" spans="1:4" x14ac:dyDescent="0.25">
      <c r="A486" s="34">
        <f>IF(ISNUMBER(SEARCH(PLAN!$E$2,B486)),MAX(A$2:$A485)+1,0)</f>
        <v>0</v>
      </c>
    </row>
    <row r="487" spans="1:4" x14ac:dyDescent="0.25">
      <c r="A487" s="34">
        <f>IF(ISNUMBER(SEARCH(PLAN!$E$2,B487)),MAX(A$2:$A486)+1,0)</f>
        <v>0</v>
      </c>
    </row>
    <row r="488" spans="1:4" x14ac:dyDescent="0.25">
      <c r="A488" s="34">
        <f>IF(ISNUMBER(SEARCH(PLAN!$E$2,B488)),MAX(A$2:$A487)+1,0)</f>
        <v>0</v>
      </c>
    </row>
    <row r="489" spans="1:4" x14ac:dyDescent="0.25">
      <c r="A489" s="34">
        <f>IF(ISNUMBER(SEARCH(PLAN!$E$2,B489)),MAX(A$2:$A488)+1,0)</f>
        <v>0</v>
      </c>
    </row>
    <row r="490" spans="1:4" x14ac:dyDescent="0.25">
      <c r="A490" s="34">
        <f>IF(ISNUMBER(SEARCH(PLAN!$E$2,B490)),MAX(A$2:$A489)+1,0)</f>
        <v>0</v>
      </c>
    </row>
    <row r="491" spans="1:4" x14ac:dyDescent="0.25">
      <c r="A491" s="34">
        <f>IF(ISNUMBER(SEARCH(PLAN!$E$2,B491)),MAX(A$2:$A490)+1,0)</f>
        <v>0</v>
      </c>
    </row>
    <row r="492" spans="1:4" x14ac:dyDescent="0.25">
      <c r="A492" s="34">
        <f>IF(ISNUMBER(SEARCH(PLAN!$E$2,B492)),MAX(A$2:$A491)+1,0)</f>
        <v>0</v>
      </c>
    </row>
    <row r="493" spans="1:4" x14ac:dyDescent="0.25">
      <c r="A493" s="34">
        <f>IF(ISNUMBER(SEARCH(PLAN!$E$2,B493)),MAX(A$2:$A492)+1,0)</f>
        <v>0</v>
      </c>
    </row>
    <row r="494" spans="1:4" x14ac:dyDescent="0.25">
      <c r="A494" s="34">
        <f>IF(ISNUMBER(SEARCH(PLAN!$E$2,B494)),MAX(A$2:$A493)+1,0)</f>
        <v>0</v>
      </c>
    </row>
    <row r="495" spans="1:4" x14ac:dyDescent="0.25">
      <c r="A495" s="34">
        <f>IF(ISNUMBER(SEARCH(PLAN!$E$2,B495)),MAX(A$2:$A494)+1,0)</f>
        <v>0</v>
      </c>
    </row>
    <row r="496" spans="1:4" x14ac:dyDescent="0.25">
      <c r="A496" s="34">
        <f>IF(ISNUMBER(SEARCH(PLAN!$E$2,B496)),MAX(A$2:$A495)+1,0)</f>
        <v>0</v>
      </c>
    </row>
    <row r="497" spans="1:1" x14ac:dyDescent="0.25">
      <c r="A497" s="34">
        <f>IF(ISNUMBER(SEARCH(PLAN!$E$2,B497)),MAX(A$2:$A496)+1,0)</f>
        <v>0</v>
      </c>
    </row>
    <row r="498" spans="1:1" x14ac:dyDescent="0.25">
      <c r="A498" s="34">
        <f>IF(ISNUMBER(SEARCH(PLAN!$E$2,B498)),MAX(A$2:$A497)+1,0)</f>
        <v>0</v>
      </c>
    </row>
    <row r="499" spans="1:1" x14ac:dyDescent="0.25">
      <c r="A499" s="34">
        <f>IF(ISNUMBER(SEARCH(PLAN!$E$2,B499)),MAX(A$2:$A498)+1,0)</f>
        <v>0</v>
      </c>
    </row>
    <row r="500" spans="1:1" x14ac:dyDescent="0.25">
      <c r="A500" s="34">
        <f>IF(ISNUMBER(SEARCH(PLAN!$E$2,B500)),MAX(A$2:$A499)+1,0)</f>
        <v>0</v>
      </c>
    </row>
    <row r="501" spans="1:1" x14ac:dyDescent="0.25">
      <c r="A501" s="34">
        <f>IF(ISNUMBER(SEARCH(PLAN!$E$2,B501)),MAX(A$2:$A500)+1,0)</f>
        <v>0</v>
      </c>
    </row>
    <row r="502" spans="1:1" x14ac:dyDescent="0.25">
      <c r="A502" s="34">
        <f>IF(ISNUMBER(SEARCH(PLAN!$E$2,B502)),MAX(A$2:$A501)+1,0)</f>
        <v>0</v>
      </c>
    </row>
    <row r="503" spans="1:1" x14ac:dyDescent="0.25">
      <c r="A503" s="34">
        <f>IF(ISNUMBER(SEARCH(PLAN!$E$2,B503)),MAX(A$2:$A502)+1,0)</f>
        <v>0</v>
      </c>
    </row>
    <row r="504" spans="1:1" x14ac:dyDescent="0.25">
      <c r="A504" s="34">
        <f>IF(ISNUMBER(SEARCH(PLAN!$E$2,B504)),MAX(A$2:$A503)+1,0)</f>
        <v>0</v>
      </c>
    </row>
    <row r="505" spans="1:1" x14ac:dyDescent="0.25">
      <c r="A505" s="34">
        <f>IF(ISNUMBER(SEARCH(PLAN!$E$2,B505)),MAX(A$2:$A504)+1,0)</f>
        <v>0</v>
      </c>
    </row>
    <row r="506" spans="1:1" x14ac:dyDescent="0.25">
      <c r="A506" s="34">
        <f>IF(ISNUMBER(SEARCH(PLAN!$E$2,B506)),MAX(A$2:$A505)+1,0)</f>
        <v>0</v>
      </c>
    </row>
    <row r="507" spans="1:1" x14ac:dyDescent="0.25">
      <c r="A507" s="34">
        <f>IF(ISNUMBER(SEARCH(PLAN!$E$2,B507)),MAX(A$2:$A506)+1,0)</f>
        <v>0</v>
      </c>
    </row>
    <row r="508" spans="1:1" x14ac:dyDescent="0.25">
      <c r="A508" s="34">
        <f>IF(ISNUMBER(SEARCH(PLAN!$E$2,B508)),MAX(A$2:$A507)+1,0)</f>
        <v>0</v>
      </c>
    </row>
    <row r="509" spans="1:1" x14ac:dyDescent="0.25">
      <c r="A509" s="34">
        <f>IF(ISNUMBER(SEARCH(PLAN!$E$2,B509)),MAX(A$2:$A508)+1,0)</f>
        <v>0</v>
      </c>
    </row>
    <row r="510" spans="1:1" x14ac:dyDescent="0.25">
      <c r="A510" s="34">
        <f>IF(ISNUMBER(SEARCH(PLAN!$E$2,B510)),MAX(A$2:$A509)+1,0)</f>
        <v>0</v>
      </c>
    </row>
    <row r="511" spans="1:1" x14ac:dyDescent="0.25">
      <c r="A511" s="34">
        <f>IF(ISNUMBER(SEARCH(PLAN!$E$2,B511)),MAX(A$2:$A510)+1,0)</f>
        <v>0</v>
      </c>
    </row>
    <row r="512" spans="1:1" x14ac:dyDescent="0.25">
      <c r="A512" s="34">
        <f>IF(ISNUMBER(SEARCH(PLAN!$E$2,B512)),MAX(A$2:$A511)+1,0)</f>
        <v>0</v>
      </c>
    </row>
    <row r="513" spans="1:1" x14ac:dyDescent="0.25">
      <c r="A513" s="34">
        <f>IF(ISNUMBER(SEARCH(PLAN!$E$2,B513)),MAX(A$2:$A512)+1,0)</f>
        <v>0</v>
      </c>
    </row>
    <row r="514" spans="1:1" x14ac:dyDescent="0.25">
      <c r="A514" s="34">
        <f>IF(ISNUMBER(SEARCH(PLAN!$E$2,B514)),MAX(A$2:$A513)+1,0)</f>
        <v>0</v>
      </c>
    </row>
    <row r="515" spans="1:1" x14ac:dyDescent="0.25">
      <c r="A515" s="34">
        <f>IF(ISNUMBER(SEARCH(PLAN!$E$2,B515)),MAX(A$2:$A514)+1,0)</f>
        <v>0</v>
      </c>
    </row>
    <row r="516" spans="1:1" x14ac:dyDescent="0.25">
      <c r="A516" s="34">
        <f>IF(ISNUMBER(SEARCH(PLAN!$E$2,B516)),MAX(A$2:$A515)+1,0)</f>
        <v>0</v>
      </c>
    </row>
    <row r="517" spans="1:1" x14ac:dyDescent="0.25">
      <c r="A517" s="34">
        <f>IF(ISNUMBER(SEARCH(PLAN!$E$2,B517)),MAX(A$2:$A516)+1,0)</f>
        <v>0</v>
      </c>
    </row>
    <row r="518" spans="1:1" x14ac:dyDescent="0.25">
      <c r="A518" s="34">
        <f>IF(ISNUMBER(SEARCH(PLAN!$E$2,B518)),MAX(A$2:$A517)+1,0)</f>
        <v>0</v>
      </c>
    </row>
    <row r="519" spans="1:1" x14ac:dyDescent="0.25">
      <c r="A519" s="34">
        <f>IF(ISNUMBER(SEARCH(PLAN!$E$2,B519)),MAX(A$2:$A518)+1,0)</f>
        <v>0</v>
      </c>
    </row>
    <row r="520" spans="1:1" x14ac:dyDescent="0.25">
      <c r="A520" s="34">
        <f>IF(ISNUMBER(SEARCH(PLAN!$E$2,B520)),MAX(A$2:$A519)+1,0)</f>
        <v>0</v>
      </c>
    </row>
    <row r="521" spans="1:1" x14ac:dyDescent="0.25">
      <c r="A521" s="34">
        <f>IF(ISNUMBER(SEARCH(PLAN!$E$2,B521)),MAX(A$2:$A520)+1,0)</f>
        <v>0</v>
      </c>
    </row>
    <row r="522" spans="1:1" x14ac:dyDescent="0.25">
      <c r="A522" s="34">
        <f>IF(ISNUMBER(SEARCH(PLAN!$E$2,B522)),MAX(A$2:$A521)+1,0)</f>
        <v>0</v>
      </c>
    </row>
    <row r="523" spans="1:1" x14ac:dyDescent="0.25">
      <c r="A523" s="34">
        <f>IF(ISNUMBER(SEARCH(PLAN!$E$2,B523)),MAX(A$2:$A522)+1,0)</f>
        <v>0</v>
      </c>
    </row>
    <row r="524" spans="1:1" x14ac:dyDescent="0.25">
      <c r="A524" s="34">
        <f>IF(ISNUMBER(SEARCH(PLAN!$E$2,B524)),MAX(A$2:$A523)+1,0)</f>
        <v>0</v>
      </c>
    </row>
    <row r="525" spans="1:1" x14ac:dyDescent="0.25">
      <c r="A525" s="34">
        <f>IF(ISNUMBER(SEARCH(PLAN!$E$2,B525)),MAX(A$2:$A524)+1,0)</f>
        <v>0</v>
      </c>
    </row>
    <row r="526" spans="1:1" x14ac:dyDescent="0.25">
      <c r="A526" s="34">
        <f>IF(ISNUMBER(SEARCH(PLAN!$E$2,B526)),MAX(A$2:$A525)+1,0)</f>
        <v>0</v>
      </c>
    </row>
    <row r="527" spans="1:1" x14ac:dyDescent="0.25">
      <c r="A527" s="34">
        <f>IF(ISNUMBER(SEARCH(PLAN!$E$2,B527)),MAX(A$2:$A526)+1,0)</f>
        <v>0</v>
      </c>
    </row>
    <row r="528" spans="1:1" x14ac:dyDescent="0.25">
      <c r="A528" s="34">
        <f>IF(ISNUMBER(SEARCH(PLAN!$E$2,B528)),MAX(A$2:$A527)+1,0)</f>
        <v>0</v>
      </c>
    </row>
    <row r="529" spans="1:1" x14ac:dyDescent="0.25">
      <c r="A529" s="34">
        <f>IF(ISNUMBER(SEARCH(PLAN!$E$2,B529)),MAX(A$2:$A528)+1,0)</f>
        <v>0</v>
      </c>
    </row>
    <row r="530" spans="1:1" x14ac:dyDescent="0.25">
      <c r="A530" s="34">
        <f>IF(ISNUMBER(SEARCH(PLAN!$E$2,B530)),MAX(A$2:$A529)+1,0)</f>
        <v>0</v>
      </c>
    </row>
    <row r="531" spans="1:1" x14ac:dyDescent="0.25">
      <c r="A531" s="34">
        <f>IF(ISNUMBER(SEARCH(PLAN!$E$2,B531)),MAX(A$2:$A530)+1,0)</f>
        <v>0</v>
      </c>
    </row>
    <row r="532" spans="1:1" x14ac:dyDescent="0.25">
      <c r="A532" s="34">
        <f>IF(ISNUMBER(SEARCH(PLAN!$E$2,B532)),MAX(A$2:$A531)+1,0)</f>
        <v>0</v>
      </c>
    </row>
    <row r="533" spans="1:1" x14ac:dyDescent="0.25">
      <c r="A533" s="34">
        <f>IF(ISNUMBER(SEARCH(PLAN!$E$2,B533)),MAX(A$2:$A532)+1,0)</f>
        <v>0</v>
      </c>
    </row>
    <row r="534" spans="1:1" x14ac:dyDescent="0.25">
      <c r="A534" s="34">
        <f>IF(ISNUMBER(SEARCH(PLAN!$E$2,B534)),MAX(A$2:$A533)+1,0)</f>
        <v>0</v>
      </c>
    </row>
    <row r="535" spans="1:1" x14ac:dyDescent="0.25">
      <c r="A535" s="34">
        <f>IF(ISNUMBER(SEARCH(PLAN!$E$2,B535)),MAX(A$2:$A534)+1,0)</f>
        <v>0</v>
      </c>
    </row>
    <row r="536" spans="1:1" x14ac:dyDescent="0.25">
      <c r="A536" s="28"/>
    </row>
    <row r="537" spans="1:1" x14ac:dyDescent="0.25">
      <c r="A537" s="34">
        <f>IF(ISNUMBER(SEARCH(PLAN!$E$2,B537)),MAX(A$2:$A536)+1,0)</f>
        <v>0</v>
      </c>
    </row>
    <row r="538" spans="1:1" x14ac:dyDescent="0.25">
      <c r="A538" s="34">
        <f>IF(ISNUMBER(SEARCH(PLAN!$E$2,B538)),MAX(A$2:$A537)+1,0)</f>
        <v>0</v>
      </c>
    </row>
    <row r="539" spans="1:1" x14ac:dyDescent="0.25">
      <c r="A539" s="34">
        <f>IF(ISNUMBER(SEARCH(PLAN!$E$2,B539)),MAX(A$2:$A538)+1,0)</f>
        <v>0</v>
      </c>
    </row>
    <row r="540" spans="1:1" x14ac:dyDescent="0.25">
      <c r="A540" s="34">
        <f>IF(ISNUMBER(SEARCH(PLAN!$E$2,B540)),MAX(A$2:$A539)+1,0)</f>
        <v>0</v>
      </c>
    </row>
    <row r="541" spans="1:1" x14ac:dyDescent="0.25">
      <c r="A541" s="34">
        <f>IF(ISNUMBER(SEARCH(PLAN!$E$2,B541)),MAX(A$2:$A540)+1,0)</f>
        <v>0</v>
      </c>
    </row>
    <row r="542" spans="1:1" x14ac:dyDescent="0.25">
      <c r="A542" s="34">
        <f>IF(ISNUMBER(SEARCH(PLAN!$E$2,B542)),MAX(A$2:$A541)+1,0)</f>
        <v>0</v>
      </c>
    </row>
    <row r="543" spans="1:1" x14ac:dyDescent="0.25">
      <c r="A543" s="34">
        <f>IF(ISNUMBER(SEARCH(PLAN!$E$2,B543)),MAX(A$2:$A542)+1,0)</f>
        <v>0</v>
      </c>
    </row>
    <row r="544" spans="1:1" x14ac:dyDescent="0.25">
      <c r="A544" s="34">
        <f>IF(ISNUMBER(SEARCH(PLAN!$E$2,B544)),MAX(A$2:$A543)+1,0)</f>
        <v>0</v>
      </c>
    </row>
    <row r="545" spans="1:1" x14ac:dyDescent="0.25">
      <c r="A545" s="34">
        <f>IF(ISNUMBER(SEARCH(PLAN!$E$2,B545)),MAX(A$2:$A544)+1,0)</f>
        <v>0</v>
      </c>
    </row>
    <row r="546" spans="1:1" x14ac:dyDescent="0.25">
      <c r="A546" s="34">
        <f>IF(ISNUMBER(SEARCH(PLAN!$E$2,B546)),MAX(A$2:$A545)+1,0)</f>
        <v>0</v>
      </c>
    </row>
    <row r="547" spans="1:1" x14ac:dyDescent="0.25">
      <c r="A547" s="34">
        <f>IF(ISNUMBER(SEARCH(PLAN!$E$2,B547)),MAX(A$2:$A546)+1,0)</f>
        <v>0</v>
      </c>
    </row>
    <row r="548" spans="1:1" x14ac:dyDescent="0.25">
      <c r="A548" s="34">
        <f>IF(ISNUMBER(SEARCH(PLAN!$E$2,B548)),MAX(A$2:$A547)+1,0)</f>
        <v>0</v>
      </c>
    </row>
    <row r="549" spans="1:1" x14ac:dyDescent="0.25">
      <c r="A549" s="34">
        <f>IF(ISNUMBER(SEARCH(PLAN!$E$2,B549)),MAX(A$2:$A548)+1,0)</f>
        <v>0</v>
      </c>
    </row>
    <row r="550" spans="1:1" x14ac:dyDescent="0.25">
      <c r="A550" s="34">
        <f>IF(ISNUMBER(SEARCH(PLAN!$E$2,B550)),MAX(A$2:$A549)+1,0)</f>
        <v>0</v>
      </c>
    </row>
    <row r="551" spans="1:1" x14ac:dyDescent="0.25">
      <c r="A551" s="34">
        <f>IF(ISNUMBER(SEARCH(PLAN!$E$2,B551)),MAX(A$2:$A550)+1,0)</f>
        <v>0</v>
      </c>
    </row>
    <row r="552" spans="1:1" x14ac:dyDescent="0.25">
      <c r="A552" s="34">
        <f>IF(ISNUMBER(SEARCH(PLAN!$E$2,B552)),MAX(A$2:$A551)+1,0)</f>
        <v>0</v>
      </c>
    </row>
    <row r="553" spans="1:1" x14ac:dyDescent="0.25">
      <c r="A553" s="34">
        <f>IF(ISNUMBER(SEARCH(PLAN!$E$2,B553)),MAX(A$2:$A552)+1,0)</f>
        <v>0</v>
      </c>
    </row>
    <row r="554" spans="1:1" x14ac:dyDescent="0.25">
      <c r="A554" s="34">
        <f>IF(ISNUMBER(SEARCH(PLAN!$E$2,B554)),MAX(A$2:$A553)+1,0)</f>
        <v>0</v>
      </c>
    </row>
    <row r="555" spans="1:1" x14ac:dyDescent="0.25">
      <c r="A555" s="34">
        <f>IF(ISNUMBER(SEARCH(PLAN!$E$2,B555)),MAX(A$2:$A554)+1,0)</f>
        <v>0</v>
      </c>
    </row>
    <row r="556" spans="1:1" x14ac:dyDescent="0.25">
      <c r="A556" s="34">
        <f>IF(ISNUMBER(SEARCH(PLAN!$E$2,B556)),MAX(A$2:$A555)+1,0)</f>
        <v>0</v>
      </c>
    </row>
    <row r="557" spans="1:1" x14ac:dyDescent="0.25">
      <c r="A557" s="34">
        <f>IF(ISNUMBER(SEARCH(PLAN!$E$2,B557)),MAX(A$2:$A556)+1,0)</f>
        <v>0</v>
      </c>
    </row>
    <row r="558" spans="1:1" x14ac:dyDescent="0.25">
      <c r="A558" s="36">
        <f>IF(ISNUMBER(SEARCH(PLAN!$E$2,B558)),MAX(A$2:$A557)+1,0)</f>
        <v>0</v>
      </c>
    </row>
  </sheetData>
  <autoFilter ref="A2:D1352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9"/>
  <dimension ref="A1:G536"/>
  <sheetViews>
    <sheetView zoomScale="90" zoomScaleNormal="90" workbookViewId="0">
      <selection activeCell="C46" sqref="C46"/>
    </sheetView>
  </sheetViews>
  <sheetFormatPr defaultRowHeight="11.25" x14ac:dyDescent="0.2"/>
  <cols>
    <col min="1" max="1" width="29.5" customWidth="1"/>
    <col min="2" max="2" width="55.83203125" customWidth="1"/>
    <col min="3" max="3" width="42" customWidth="1"/>
    <col min="4" max="4" width="66.33203125" customWidth="1"/>
  </cols>
  <sheetData>
    <row r="1" spans="1:7" s="6" customFormat="1" ht="15" x14ac:dyDescent="0.25">
      <c r="A1" s="6" t="s">
        <v>24</v>
      </c>
      <c r="B1" s="8" t="str">
        <f ca="1">INDIRECT(ADDRESS(ROW($A$1)-COLUMN($A$1)+COLUMN(),1))</f>
        <v>WOODTECH</v>
      </c>
      <c r="C1" s="8" t="str">
        <f t="shared" ref="C1" ca="1" si="0">INDIRECT(ADDRESS(ROW($A$1)-COLUMN($A$1)+COLUMN(),1))</f>
        <v>TIMEWATCH</v>
      </c>
      <c r="D1" s="8" t="str">
        <f t="shared" ref="D1" ca="1" si="1">INDIRECT(ADDRESS(ROW($A$1)-COLUMN($A$1)+COLUMN(),1))</f>
        <v>All_groups</v>
      </c>
    </row>
    <row r="2" spans="1:7" x14ac:dyDescent="0.2">
      <c r="A2" s="7" t="s">
        <v>15</v>
      </c>
      <c r="B2" s="7" t="s">
        <v>18</v>
      </c>
      <c r="C2" s="7" t="s">
        <v>28</v>
      </c>
      <c r="D2" s="7" t="s">
        <v>18</v>
      </c>
    </row>
    <row r="3" spans="1:7" x14ac:dyDescent="0.2">
      <c r="A3" s="7" t="s">
        <v>17</v>
      </c>
      <c r="B3" s="7" t="s">
        <v>19</v>
      </c>
      <c r="C3" s="7" t="s">
        <v>27</v>
      </c>
      <c r="D3" s="7" t="s">
        <v>19</v>
      </c>
      <c r="E3" s="1"/>
      <c r="G3" s="1"/>
    </row>
    <row r="4" spans="1:7" x14ac:dyDescent="0.2">
      <c r="A4" s="7" t="s">
        <v>16</v>
      </c>
      <c r="B4" s="7" t="s">
        <v>20</v>
      </c>
      <c r="C4" s="7" t="s">
        <v>25</v>
      </c>
      <c r="D4" s="7" t="s">
        <v>20</v>
      </c>
      <c r="E4" s="1"/>
      <c r="G4" s="1"/>
    </row>
    <row r="5" spans="1:7" x14ac:dyDescent="0.2">
      <c r="A5" s="7"/>
      <c r="B5" s="7" t="s">
        <v>21</v>
      </c>
      <c r="C5" s="7" t="s">
        <v>26</v>
      </c>
      <c r="D5" s="7" t="s">
        <v>21</v>
      </c>
      <c r="E5" s="1"/>
      <c r="G5" s="1"/>
    </row>
    <row r="6" spans="1:7" x14ac:dyDescent="0.2">
      <c r="B6" s="7" t="s">
        <v>22</v>
      </c>
      <c r="C6" s="7"/>
      <c r="D6" s="7" t="s">
        <v>22</v>
      </c>
      <c r="E6" s="1"/>
      <c r="G6" s="1"/>
    </row>
    <row r="7" spans="1:7" x14ac:dyDescent="0.2">
      <c r="A7" s="7"/>
      <c r="B7" s="7" t="s">
        <v>23</v>
      </c>
      <c r="C7" s="7"/>
      <c r="D7" s="7" t="s">
        <v>23</v>
      </c>
      <c r="E7" s="1"/>
      <c r="G7" s="1"/>
    </row>
    <row r="8" spans="1:7" x14ac:dyDescent="0.2">
      <c r="A8" s="7"/>
      <c r="C8" s="7"/>
      <c r="D8" s="1" t="s">
        <v>28</v>
      </c>
      <c r="E8" s="1"/>
      <c r="G8" s="1"/>
    </row>
    <row r="9" spans="1:7" x14ac:dyDescent="0.2">
      <c r="A9" s="7"/>
      <c r="C9" s="1"/>
      <c r="D9" s="1" t="s">
        <v>27</v>
      </c>
      <c r="E9" s="1"/>
      <c r="G9" s="1"/>
    </row>
    <row r="10" spans="1:7" x14ac:dyDescent="0.2">
      <c r="A10" s="7"/>
      <c r="C10" s="1"/>
      <c r="D10" s="1" t="s">
        <v>25</v>
      </c>
      <c r="E10" s="1"/>
      <c r="G10" s="1"/>
    </row>
    <row r="11" spans="1:7" x14ac:dyDescent="0.2">
      <c r="C11" s="1"/>
      <c r="D11" s="1" t="s">
        <v>26</v>
      </c>
      <c r="E11" s="1"/>
      <c r="G11" s="1"/>
    </row>
    <row r="12" spans="1:7" x14ac:dyDescent="0.2">
      <c r="B12" s="7"/>
      <c r="C12" s="1"/>
      <c r="D12" s="1"/>
      <c r="E12" s="1"/>
      <c r="G12" s="1"/>
    </row>
    <row r="13" spans="1:7" x14ac:dyDescent="0.2">
      <c r="B13" s="7"/>
      <c r="C13" s="1"/>
      <c r="D13" s="1"/>
      <c r="E13" s="1"/>
      <c r="G13" s="1"/>
    </row>
    <row r="14" spans="1:7" x14ac:dyDescent="0.2">
      <c r="A14" s="7"/>
      <c r="C14" s="1"/>
      <c r="D14" s="1"/>
      <c r="E14" s="1"/>
      <c r="G14" s="1"/>
    </row>
    <row r="15" spans="1:7" x14ac:dyDescent="0.2">
      <c r="C15" s="1"/>
      <c r="D15" s="1"/>
      <c r="E15" s="1"/>
      <c r="G15" s="1"/>
    </row>
    <row r="16" spans="1:7" x14ac:dyDescent="0.2">
      <c r="C16" s="1"/>
      <c r="D16" s="1"/>
      <c r="E16" s="1"/>
      <c r="G16" s="1"/>
    </row>
    <row r="17" spans="1:7" x14ac:dyDescent="0.2">
      <c r="A17" s="7"/>
      <c r="C17" s="1"/>
      <c r="D17" s="1"/>
      <c r="E17" s="1"/>
      <c r="G17" s="1"/>
    </row>
    <row r="18" spans="1:7" x14ac:dyDescent="0.2">
      <c r="C18" s="1"/>
      <c r="D18" s="1"/>
      <c r="E18" s="1"/>
      <c r="G18" s="1"/>
    </row>
    <row r="19" spans="1:7" x14ac:dyDescent="0.2">
      <c r="A19" s="7"/>
      <c r="C19" s="1"/>
      <c r="D19" s="1"/>
      <c r="E19" s="1"/>
      <c r="G19" s="1"/>
    </row>
    <row r="20" spans="1:7" x14ac:dyDescent="0.2">
      <c r="A20" s="7"/>
      <c r="C20" s="1"/>
      <c r="D20" s="1"/>
      <c r="E20" s="1"/>
      <c r="G20" s="1"/>
    </row>
    <row r="21" spans="1:7" x14ac:dyDescent="0.2">
      <c r="A21" s="7"/>
      <c r="C21" s="1"/>
      <c r="D21" s="1"/>
      <c r="E21" s="1"/>
      <c r="G21" s="1"/>
    </row>
    <row r="22" spans="1:7" x14ac:dyDescent="0.2">
      <c r="A22" s="7"/>
      <c r="C22" s="1"/>
      <c r="D22" s="1"/>
      <c r="E22" s="1"/>
      <c r="G22" s="1"/>
    </row>
    <row r="23" spans="1:7" x14ac:dyDescent="0.2">
      <c r="C23" s="1"/>
      <c r="D23" s="1"/>
      <c r="E23" s="1"/>
      <c r="G23" s="1"/>
    </row>
    <row r="24" spans="1:7" x14ac:dyDescent="0.2">
      <c r="C24" s="1"/>
      <c r="D24" s="1"/>
      <c r="E24" s="1"/>
      <c r="G24" s="1"/>
    </row>
    <row r="25" spans="1:7" x14ac:dyDescent="0.2">
      <c r="C25" s="1"/>
      <c r="D25" s="1"/>
      <c r="E25" s="1"/>
      <c r="G25" s="1"/>
    </row>
    <row r="26" spans="1:7" x14ac:dyDescent="0.2">
      <c r="A26" s="7"/>
      <c r="C26" s="1"/>
      <c r="D26" s="1"/>
      <c r="E26" s="1"/>
      <c r="G26" s="1"/>
    </row>
    <row r="27" spans="1:7" x14ac:dyDescent="0.2">
      <c r="A27" s="7"/>
      <c r="C27" s="1"/>
      <c r="D27" s="1"/>
      <c r="E27" s="1"/>
      <c r="G27" s="1"/>
    </row>
    <row r="28" spans="1:7" x14ac:dyDescent="0.2">
      <c r="C28" s="1"/>
      <c r="D28" s="1"/>
      <c r="E28" s="1"/>
      <c r="G28" s="1"/>
    </row>
    <row r="29" spans="1:7" x14ac:dyDescent="0.2">
      <c r="A29" s="1"/>
      <c r="C29" s="1"/>
      <c r="D29" s="1"/>
      <c r="E29" s="1"/>
      <c r="G29" s="1"/>
    </row>
    <row r="30" spans="1:7" x14ac:dyDescent="0.2">
      <c r="C30" s="1"/>
      <c r="D30" s="1"/>
      <c r="E30" s="1"/>
      <c r="G30" s="1"/>
    </row>
    <row r="31" spans="1:7" x14ac:dyDescent="0.2">
      <c r="C31" s="1"/>
      <c r="D31" s="1"/>
      <c r="E31" s="1"/>
      <c r="G31" s="1"/>
    </row>
    <row r="32" spans="1:7" x14ac:dyDescent="0.2">
      <c r="C32" s="1"/>
      <c r="D32" s="1"/>
      <c r="E32" s="1"/>
      <c r="G32" s="1"/>
    </row>
    <row r="33" spans="3:7" x14ac:dyDescent="0.2">
      <c r="C33" s="1"/>
      <c r="D33" s="1"/>
      <c r="E33" s="1"/>
      <c r="G33" s="1"/>
    </row>
    <row r="34" spans="3:7" x14ac:dyDescent="0.2">
      <c r="C34" s="1"/>
      <c r="D34" s="1"/>
      <c r="E34" s="1"/>
      <c r="G34" s="1"/>
    </row>
    <row r="35" spans="3:7" x14ac:dyDescent="0.2">
      <c r="C35" s="1"/>
      <c r="D35" s="1"/>
      <c r="E35" s="1"/>
      <c r="G35" s="1"/>
    </row>
    <row r="36" spans="3:7" x14ac:dyDescent="0.2">
      <c r="C36" s="1"/>
      <c r="D36" s="1"/>
      <c r="E36" s="1"/>
      <c r="G36" s="1"/>
    </row>
    <row r="37" spans="3:7" x14ac:dyDescent="0.2">
      <c r="C37" s="1"/>
      <c r="D37" s="1"/>
      <c r="E37" s="1"/>
      <c r="G37" s="1"/>
    </row>
    <row r="38" spans="3:7" x14ac:dyDescent="0.2">
      <c r="C38" s="1"/>
      <c r="D38" s="1"/>
      <c r="E38" s="1"/>
      <c r="G38" s="1"/>
    </row>
    <row r="39" spans="3:7" x14ac:dyDescent="0.2">
      <c r="C39" s="1"/>
      <c r="D39" s="1"/>
      <c r="E39" s="1"/>
      <c r="G39" s="1"/>
    </row>
    <row r="40" spans="3:7" x14ac:dyDescent="0.2">
      <c r="C40" s="1"/>
      <c r="D40" s="1"/>
      <c r="E40" s="1"/>
      <c r="G40" s="1"/>
    </row>
    <row r="41" spans="3:7" x14ac:dyDescent="0.2">
      <c r="C41" s="1"/>
      <c r="D41" s="1"/>
      <c r="E41" s="1"/>
      <c r="G41" s="1"/>
    </row>
    <row r="42" spans="3:7" x14ac:dyDescent="0.2">
      <c r="C42" s="1"/>
      <c r="D42" s="1"/>
      <c r="E42" s="1"/>
      <c r="G42" s="1"/>
    </row>
    <row r="43" spans="3:7" x14ac:dyDescent="0.2">
      <c r="C43" s="1"/>
      <c r="D43" s="1"/>
      <c r="E43" s="1"/>
      <c r="G43" s="1"/>
    </row>
    <row r="44" spans="3:7" x14ac:dyDescent="0.2">
      <c r="C44" s="1"/>
      <c r="D44" s="1"/>
      <c r="E44" s="1"/>
      <c r="G44" s="1"/>
    </row>
    <row r="45" spans="3:7" x14ac:dyDescent="0.2">
      <c r="C45" s="1"/>
      <c r="D45" s="1"/>
      <c r="E45" s="1"/>
      <c r="G45" s="1"/>
    </row>
    <row r="46" spans="3:7" x14ac:dyDescent="0.2">
      <c r="C46" s="1"/>
      <c r="D46" s="1"/>
      <c r="E46" s="1"/>
      <c r="G46" s="1"/>
    </row>
    <row r="47" spans="3:7" x14ac:dyDescent="0.2">
      <c r="C47" s="1"/>
      <c r="D47" s="1"/>
      <c r="E47" s="1"/>
      <c r="G47" s="1"/>
    </row>
    <row r="48" spans="3:7" x14ac:dyDescent="0.2">
      <c r="C48" s="1"/>
      <c r="D48" s="48"/>
      <c r="E48" s="1"/>
      <c r="G48" s="1"/>
    </row>
    <row r="49" spans="3:7" x14ac:dyDescent="0.2">
      <c r="C49" s="1"/>
      <c r="D49" s="1"/>
      <c r="E49" s="1"/>
      <c r="G49" s="1"/>
    </row>
    <row r="50" spans="3:7" x14ac:dyDescent="0.2">
      <c r="C50" s="1"/>
      <c r="D50" s="1"/>
      <c r="E50" s="1"/>
      <c r="G50" s="1"/>
    </row>
    <row r="51" spans="3:7" x14ac:dyDescent="0.2">
      <c r="C51" s="1"/>
      <c r="D51" s="52"/>
      <c r="E51" s="1"/>
      <c r="G51" s="1"/>
    </row>
    <row r="52" spans="3:7" x14ac:dyDescent="0.2">
      <c r="C52" s="1"/>
      <c r="D52" s="52"/>
      <c r="E52" s="1"/>
      <c r="G52" s="1"/>
    </row>
    <row r="53" spans="3:7" x14ac:dyDescent="0.2">
      <c r="C53" s="1"/>
      <c r="D53" s="52"/>
      <c r="E53" s="1"/>
      <c r="G53" s="1"/>
    </row>
    <row r="54" spans="3:7" x14ac:dyDescent="0.2">
      <c r="C54" s="1"/>
      <c r="D54" s="7"/>
      <c r="E54" s="1"/>
      <c r="G54" s="1"/>
    </row>
    <row r="55" spans="3:7" x14ac:dyDescent="0.2">
      <c r="C55" s="1"/>
      <c r="D55" s="7"/>
      <c r="E55" s="1"/>
      <c r="G55" s="1"/>
    </row>
    <row r="56" spans="3:7" x14ac:dyDescent="0.2">
      <c r="C56" s="1"/>
      <c r="D56" s="7"/>
      <c r="E56" s="1"/>
      <c r="G56" s="1"/>
    </row>
    <row r="57" spans="3:7" x14ac:dyDescent="0.2">
      <c r="C57" s="1"/>
      <c r="D57" s="1"/>
      <c r="E57" s="1"/>
      <c r="G57" s="1"/>
    </row>
    <row r="58" spans="3:7" x14ac:dyDescent="0.2">
      <c r="C58" s="1"/>
      <c r="D58" s="1"/>
      <c r="E58" s="1"/>
      <c r="G58" s="1"/>
    </row>
    <row r="59" spans="3:7" x14ac:dyDescent="0.2">
      <c r="C59" s="1"/>
      <c r="D59" s="1"/>
      <c r="E59" s="1"/>
      <c r="G59" s="1"/>
    </row>
    <row r="60" spans="3:7" x14ac:dyDescent="0.2">
      <c r="C60" s="1"/>
      <c r="D60" s="1"/>
      <c r="E60" s="1"/>
      <c r="G60" s="1"/>
    </row>
    <row r="61" spans="3:7" x14ac:dyDescent="0.2">
      <c r="C61" s="1"/>
      <c r="D61" s="1"/>
      <c r="E61" s="1"/>
      <c r="G61" s="1"/>
    </row>
    <row r="62" spans="3:7" x14ac:dyDescent="0.2">
      <c r="C62" s="1"/>
      <c r="D62" s="1"/>
      <c r="E62" s="1"/>
      <c r="G62" s="1"/>
    </row>
    <row r="63" spans="3:7" x14ac:dyDescent="0.2">
      <c r="C63" s="1"/>
      <c r="D63" s="1"/>
      <c r="E63" s="1"/>
      <c r="G63" s="1"/>
    </row>
    <row r="64" spans="3:7" x14ac:dyDescent="0.2">
      <c r="C64" s="1"/>
      <c r="D64" s="1"/>
      <c r="E64" s="1"/>
      <c r="G64" s="1"/>
    </row>
    <row r="65" spans="3:7" x14ac:dyDescent="0.2">
      <c r="C65" s="1"/>
      <c r="D65" s="47"/>
      <c r="E65" s="1"/>
      <c r="G65" s="1"/>
    </row>
    <row r="66" spans="3:7" x14ac:dyDescent="0.2">
      <c r="C66" s="1"/>
      <c r="D66" s="1"/>
      <c r="E66" s="1"/>
      <c r="G66" s="1"/>
    </row>
    <row r="67" spans="3:7" x14ac:dyDescent="0.2">
      <c r="C67" s="1"/>
      <c r="D67" s="1"/>
      <c r="E67" s="1"/>
      <c r="G67" s="1"/>
    </row>
    <row r="68" spans="3:7" x14ac:dyDescent="0.2">
      <c r="C68" s="1"/>
      <c r="D68" s="1"/>
      <c r="E68" s="1"/>
      <c r="G68" s="1"/>
    </row>
    <row r="69" spans="3:7" x14ac:dyDescent="0.2">
      <c r="C69" s="1"/>
      <c r="D69" s="1"/>
      <c r="E69" s="1"/>
      <c r="G69" s="1"/>
    </row>
    <row r="70" spans="3:7" x14ac:dyDescent="0.2">
      <c r="C70" s="1"/>
      <c r="D70" s="1"/>
      <c r="E70" s="1"/>
      <c r="G70" s="1"/>
    </row>
    <row r="71" spans="3:7" x14ac:dyDescent="0.2">
      <c r="C71" s="1"/>
      <c r="D71" s="1"/>
      <c r="E71" s="1"/>
      <c r="G71" s="1"/>
    </row>
    <row r="72" spans="3:7" x14ac:dyDescent="0.2">
      <c r="C72" s="1"/>
      <c r="D72" s="1"/>
      <c r="E72" s="1"/>
      <c r="G72" s="1"/>
    </row>
    <row r="73" spans="3:7" x14ac:dyDescent="0.2">
      <c r="C73" s="1"/>
      <c r="D73" s="7"/>
      <c r="E73" s="1"/>
      <c r="G73" s="1"/>
    </row>
    <row r="74" spans="3:7" x14ac:dyDescent="0.2">
      <c r="C74" s="1"/>
      <c r="D74" s="7"/>
      <c r="E74" s="1"/>
      <c r="G74" s="1"/>
    </row>
    <row r="75" spans="3:7" x14ac:dyDescent="0.2">
      <c r="C75" s="1"/>
      <c r="D75" s="7"/>
      <c r="E75" s="1"/>
      <c r="G75" s="1"/>
    </row>
    <row r="76" spans="3:7" x14ac:dyDescent="0.2">
      <c r="C76" s="1"/>
      <c r="D76" s="7"/>
      <c r="E76" s="1"/>
      <c r="G76" s="1"/>
    </row>
    <row r="77" spans="3:7" x14ac:dyDescent="0.2">
      <c r="C77" s="1"/>
      <c r="D77" s="1"/>
      <c r="E77" s="1"/>
      <c r="G77" s="1"/>
    </row>
    <row r="78" spans="3:7" x14ac:dyDescent="0.2">
      <c r="C78" s="1"/>
      <c r="D78" s="1"/>
      <c r="E78" s="1"/>
      <c r="G78" s="1"/>
    </row>
    <row r="79" spans="3:7" x14ac:dyDescent="0.2">
      <c r="C79" s="1"/>
      <c r="D79" s="1"/>
      <c r="E79" s="1"/>
      <c r="G79" s="1"/>
    </row>
    <row r="80" spans="3:7" x14ac:dyDescent="0.2">
      <c r="C80" s="1"/>
      <c r="D80" s="1"/>
      <c r="E80" s="1"/>
      <c r="G80" s="1"/>
    </row>
    <row r="81" spans="3:7" x14ac:dyDescent="0.2">
      <c r="C81" s="1"/>
      <c r="D81" s="1"/>
      <c r="E81" s="1"/>
      <c r="G81" s="1"/>
    </row>
    <row r="82" spans="3:7" x14ac:dyDescent="0.2">
      <c r="C82" s="1"/>
      <c r="D82" s="1"/>
      <c r="E82" s="1"/>
      <c r="G82" s="1"/>
    </row>
    <row r="83" spans="3:7" x14ac:dyDescent="0.2">
      <c r="C83" s="1"/>
      <c r="D83" s="1"/>
      <c r="E83" s="1"/>
      <c r="G83" s="1"/>
    </row>
    <row r="84" spans="3:7" x14ac:dyDescent="0.2">
      <c r="C84" s="1"/>
      <c r="D84" s="1"/>
      <c r="E84" s="1"/>
      <c r="G84" s="1"/>
    </row>
    <row r="85" spans="3:7" x14ac:dyDescent="0.2">
      <c r="C85" s="1"/>
      <c r="D85" s="1"/>
      <c r="E85" s="1"/>
      <c r="G85" s="1"/>
    </row>
    <row r="86" spans="3:7" x14ac:dyDescent="0.2">
      <c r="C86" s="1"/>
      <c r="D86" s="1"/>
      <c r="E86" s="1"/>
      <c r="G86" s="1"/>
    </row>
    <row r="87" spans="3:7" x14ac:dyDescent="0.2">
      <c r="C87" s="1"/>
      <c r="D87" s="1"/>
      <c r="E87" s="1"/>
      <c r="G87" s="1"/>
    </row>
    <row r="88" spans="3:7" x14ac:dyDescent="0.2">
      <c r="C88" s="1"/>
      <c r="D88" s="1"/>
      <c r="E88" s="1"/>
      <c r="G88" s="1"/>
    </row>
    <row r="89" spans="3:7" x14ac:dyDescent="0.2">
      <c r="C89" s="1"/>
      <c r="D89" s="1"/>
      <c r="E89" s="1"/>
      <c r="G89" s="1"/>
    </row>
    <row r="90" spans="3:7" x14ac:dyDescent="0.2">
      <c r="C90" s="1"/>
      <c r="D90" s="1"/>
      <c r="E90" s="1"/>
      <c r="G90" s="1"/>
    </row>
    <row r="91" spans="3:7" x14ac:dyDescent="0.2">
      <c r="C91" s="1"/>
      <c r="D91" s="1"/>
      <c r="E91" s="1"/>
      <c r="G91" s="1"/>
    </row>
    <row r="92" spans="3:7" x14ac:dyDescent="0.2">
      <c r="C92" s="1"/>
      <c r="D92" s="1"/>
      <c r="E92" s="1"/>
      <c r="G92" s="1"/>
    </row>
    <row r="93" spans="3:7" x14ac:dyDescent="0.2">
      <c r="C93" s="1"/>
      <c r="D93" s="1"/>
      <c r="E93" s="1"/>
      <c r="G93" s="1"/>
    </row>
    <row r="94" spans="3:7" x14ac:dyDescent="0.2">
      <c r="C94" s="1"/>
      <c r="D94" s="1"/>
      <c r="E94" s="1"/>
      <c r="G94" s="1"/>
    </row>
    <row r="95" spans="3:7" x14ac:dyDescent="0.2">
      <c r="C95" s="1"/>
      <c r="D95" s="1"/>
      <c r="E95" s="1"/>
      <c r="G95" s="1"/>
    </row>
    <row r="96" spans="3:7" x14ac:dyDescent="0.2">
      <c r="C96" s="1"/>
      <c r="D96" s="1"/>
      <c r="E96" s="1"/>
      <c r="G96" s="1"/>
    </row>
    <row r="97" spans="3:7" x14ac:dyDescent="0.2">
      <c r="C97" s="1"/>
      <c r="D97" s="1"/>
      <c r="E97" s="1"/>
      <c r="G97" s="1"/>
    </row>
    <row r="98" spans="3:7" x14ac:dyDescent="0.2">
      <c r="C98" s="1"/>
      <c r="D98" s="1"/>
      <c r="E98" s="1"/>
      <c r="G98" s="1"/>
    </row>
    <row r="99" spans="3:7" x14ac:dyDescent="0.2">
      <c r="C99" s="1"/>
      <c r="D99" s="1"/>
      <c r="E99" s="1"/>
      <c r="G99" s="1"/>
    </row>
    <row r="100" spans="3:7" x14ac:dyDescent="0.2">
      <c r="C100" s="1"/>
      <c r="D100" s="1"/>
      <c r="E100" s="1"/>
      <c r="G100" s="1"/>
    </row>
    <row r="101" spans="3:7" x14ac:dyDescent="0.2">
      <c r="C101" s="1"/>
      <c r="D101" s="1"/>
      <c r="E101" s="1"/>
      <c r="G101" s="1"/>
    </row>
    <row r="102" spans="3:7" x14ac:dyDescent="0.2">
      <c r="C102" s="1"/>
      <c r="D102" s="1"/>
      <c r="E102" s="1"/>
      <c r="G102" s="1"/>
    </row>
    <row r="103" spans="3:7" x14ac:dyDescent="0.2">
      <c r="C103" s="1"/>
      <c r="D103" s="1"/>
      <c r="E103" s="1"/>
      <c r="G103" s="1"/>
    </row>
    <row r="104" spans="3:7" x14ac:dyDescent="0.2">
      <c r="C104" s="1"/>
      <c r="D104" s="1"/>
      <c r="E104" s="1"/>
      <c r="G104" s="1"/>
    </row>
    <row r="105" spans="3:7" x14ac:dyDescent="0.2">
      <c r="C105" s="1"/>
      <c r="D105" s="1"/>
      <c r="E105" s="1"/>
      <c r="G105" s="1"/>
    </row>
    <row r="106" spans="3:7" x14ac:dyDescent="0.2">
      <c r="C106" s="1"/>
      <c r="D106" s="1"/>
      <c r="E106" s="1"/>
      <c r="G106" s="1"/>
    </row>
    <row r="107" spans="3:7" x14ac:dyDescent="0.2">
      <c r="C107" s="1"/>
      <c r="D107" s="1"/>
      <c r="E107" s="1"/>
      <c r="G107" s="1"/>
    </row>
    <row r="108" spans="3:7" x14ac:dyDescent="0.2">
      <c r="C108" s="1"/>
      <c r="D108" s="1"/>
      <c r="E108" s="1"/>
      <c r="G108" s="1"/>
    </row>
    <row r="109" spans="3:7" x14ac:dyDescent="0.2">
      <c r="C109" s="1"/>
      <c r="D109" s="1"/>
      <c r="E109" s="1"/>
      <c r="G109" s="1"/>
    </row>
    <row r="110" spans="3:7" x14ac:dyDescent="0.2">
      <c r="C110" s="1"/>
      <c r="D110" s="1"/>
      <c r="E110" s="1"/>
      <c r="G110" s="1"/>
    </row>
    <row r="111" spans="3:7" x14ac:dyDescent="0.2">
      <c r="C111" s="1"/>
      <c r="D111" s="1"/>
      <c r="E111" s="1"/>
      <c r="G111" s="1"/>
    </row>
    <row r="112" spans="3:7" x14ac:dyDescent="0.2">
      <c r="C112" s="1"/>
      <c r="D112" s="1"/>
      <c r="E112" s="1"/>
      <c r="G112" s="1"/>
    </row>
    <row r="113" spans="3:7" x14ac:dyDescent="0.2">
      <c r="C113" s="1"/>
      <c r="D113" s="1"/>
      <c r="E113" s="1"/>
      <c r="G113" s="1"/>
    </row>
    <row r="114" spans="3:7" x14ac:dyDescent="0.2">
      <c r="C114" s="1"/>
      <c r="D114" s="1"/>
      <c r="E114" s="1"/>
      <c r="G114" s="1"/>
    </row>
    <row r="115" spans="3:7" x14ac:dyDescent="0.2">
      <c r="C115" s="1"/>
      <c r="D115" s="1"/>
      <c r="E115" s="1"/>
      <c r="G115" s="1"/>
    </row>
    <row r="116" spans="3:7" x14ac:dyDescent="0.2">
      <c r="C116" s="1"/>
      <c r="D116" s="1"/>
      <c r="E116" s="1"/>
      <c r="G116" s="1"/>
    </row>
    <row r="117" spans="3:7" x14ac:dyDescent="0.2">
      <c r="C117" s="1"/>
      <c r="D117" s="7"/>
      <c r="E117" s="1"/>
      <c r="G117" s="1"/>
    </row>
    <row r="118" spans="3:7" x14ac:dyDescent="0.2">
      <c r="C118" s="1"/>
      <c r="D118" s="1"/>
      <c r="E118" s="1"/>
      <c r="G118" s="1"/>
    </row>
    <row r="119" spans="3:7" x14ac:dyDescent="0.2">
      <c r="C119" s="1"/>
      <c r="D119" s="1"/>
      <c r="E119" s="1"/>
      <c r="G119" s="1"/>
    </row>
    <row r="120" spans="3:7" x14ac:dyDescent="0.2">
      <c r="C120" s="1"/>
      <c r="D120" s="1"/>
      <c r="E120" s="1"/>
      <c r="G120" s="1"/>
    </row>
    <row r="121" spans="3:7" x14ac:dyDescent="0.2">
      <c r="C121" s="1"/>
      <c r="D121" s="1"/>
      <c r="E121" s="1"/>
      <c r="G121" s="1"/>
    </row>
    <row r="122" spans="3:7" x14ac:dyDescent="0.2">
      <c r="C122" s="1"/>
      <c r="D122" s="1"/>
      <c r="E122" s="1"/>
      <c r="G122" s="1"/>
    </row>
    <row r="123" spans="3:7" x14ac:dyDescent="0.2">
      <c r="C123" s="1"/>
      <c r="D123" s="7"/>
      <c r="E123" s="1"/>
      <c r="G123" s="1"/>
    </row>
    <row r="124" spans="3:7" x14ac:dyDescent="0.2">
      <c r="C124" s="1"/>
      <c r="D124" s="1"/>
      <c r="E124" s="1"/>
      <c r="G124" s="1"/>
    </row>
    <row r="125" spans="3:7" x14ac:dyDescent="0.2">
      <c r="C125" s="1"/>
      <c r="D125" s="1"/>
      <c r="E125" s="1"/>
      <c r="G125" s="1"/>
    </row>
    <row r="126" spans="3:7" x14ac:dyDescent="0.2">
      <c r="C126" s="1"/>
      <c r="D126" s="1"/>
      <c r="E126" s="1"/>
      <c r="G126" s="1"/>
    </row>
    <row r="127" spans="3:7" x14ac:dyDescent="0.2">
      <c r="C127" s="1"/>
      <c r="D127" s="1"/>
      <c r="E127" s="1"/>
      <c r="G127" s="1"/>
    </row>
    <row r="128" spans="3:7" x14ac:dyDescent="0.2">
      <c r="C128" s="1"/>
      <c r="D128" s="1"/>
      <c r="E128" s="1"/>
      <c r="G128" s="1"/>
    </row>
    <row r="129" spans="3:7" x14ac:dyDescent="0.2">
      <c r="C129" s="1"/>
      <c r="D129" s="1"/>
      <c r="E129" s="1"/>
      <c r="G129" s="1"/>
    </row>
    <row r="130" spans="3:7" x14ac:dyDescent="0.2">
      <c r="C130" s="1"/>
      <c r="D130" s="1"/>
      <c r="E130" s="1"/>
      <c r="G130" s="1"/>
    </row>
    <row r="131" spans="3:7" x14ac:dyDescent="0.2">
      <c r="C131" s="1"/>
      <c r="D131" s="1"/>
      <c r="E131" s="1"/>
      <c r="G131" s="1"/>
    </row>
    <row r="132" spans="3:7" x14ac:dyDescent="0.2">
      <c r="C132" s="1"/>
      <c r="D132" s="1"/>
      <c r="E132" s="1"/>
      <c r="G132" s="1"/>
    </row>
    <row r="133" spans="3:7" x14ac:dyDescent="0.2">
      <c r="C133" s="1"/>
      <c r="D133" s="1"/>
      <c r="E133" s="1"/>
      <c r="G133" s="1"/>
    </row>
    <row r="134" spans="3:7" x14ac:dyDescent="0.2">
      <c r="C134" s="1"/>
      <c r="D134" s="1"/>
      <c r="E134" s="1"/>
      <c r="G134" s="1"/>
    </row>
    <row r="135" spans="3:7" x14ac:dyDescent="0.2">
      <c r="C135" s="1"/>
      <c r="D135" s="1"/>
      <c r="E135" s="1"/>
      <c r="G135" s="1"/>
    </row>
    <row r="136" spans="3:7" x14ac:dyDescent="0.2">
      <c r="C136" s="1"/>
      <c r="D136" s="1"/>
      <c r="E136" s="1"/>
      <c r="G136" s="1"/>
    </row>
    <row r="137" spans="3:7" x14ac:dyDescent="0.2">
      <c r="C137" s="1"/>
      <c r="D137" s="1"/>
      <c r="E137" s="1"/>
      <c r="G137" s="1"/>
    </row>
    <row r="138" spans="3:7" x14ac:dyDescent="0.2">
      <c r="C138" s="1"/>
      <c r="D138" s="1"/>
      <c r="E138" s="1"/>
      <c r="G138" s="1"/>
    </row>
    <row r="139" spans="3:7" x14ac:dyDescent="0.2">
      <c r="C139" s="1"/>
      <c r="D139" s="1"/>
      <c r="E139" s="1"/>
      <c r="G139" s="1"/>
    </row>
    <row r="140" spans="3:7" x14ac:dyDescent="0.2">
      <c r="C140" s="1"/>
      <c r="D140" s="1"/>
      <c r="E140" s="1"/>
      <c r="G140" s="1"/>
    </row>
    <row r="141" spans="3:7" x14ac:dyDescent="0.2">
      <c r="C141" s="1"/>
      <c r="D141" s="1"/>
      <c r="E141" s="1"/>
      <c r="G141" s="1"/>
    </row>
    <row r="142" spans="3:7" x14ac:dyDescent="0.2">
      <c r="C142" s="1"/>
      <c r="D142" s="1"/>
      <c r="E142" s="1"/>
      <c r="G142" s="1"/>
    </row>
    <row r="143" spans="3:7" x14ac:dyDescent="0.2">
      <c r="C143" s="1"/>
      <c r="D143" s="1"/>
      <c r="E143" s="1"/>
      <c r="G143" s="1"/>
    </row>
    <row r="144" spans="3:7" x14ac:dyDescent="0.2">
      <c r="C144" s="1"/>
      <c r="D144" s="1"/>
      <c r="E144" s="1"/>
      <c r="G144" s="1"/>
    </row>
    <row r="145" spans="3:7" x14ac:dyDescent="0.2">
      <c r="C145" s="1"/>
      <c r="D145" s="1"/>
      <c r="E145" s="1"/>
      <c r="G145" s="1"/>
    </row>
    <row r="146" spans="3:7" x14ac:dyDescent="0.2">
      <c r="C146" s="1"/>
      <c r="D146" s="1"/>
      <c r="E146" s="1"/>
      <c r="G146" s="1"/>
    </row>
    <row r="147" spans="3:7" x14ac:dyDescent="0.2">
      <c r="C147" s="1"/>
      <c r="D147" s="1"/>
      <c r="E147" s="1"/>
      <c r="G147" s="1"/>
    </row>
    <row r="148" spans="3:7" x14ac:dyDescent="0.2">
      <c r="C148" s="1"/>
      <c r="D148" s="1"/>
      <c r="E148" s="1"/>
      <c r="G148" s="1"/>
    </row>
    <row r="149" spans="3:7" x14ac:dyDescent="0.2">
      <c r="C149" s="1"/>
      <c r="D149" s="1"/>
      <c r="E149" s="1"/>
      <c r="G149" s="1"/>
    </row>
    <row r="150" spans="3:7" x14ac:dyDescent="0.2">
      <c r="C150" s="1"/>
      <c r="D150" s="1"/>
      <c r="E150" s="1"/>
      <c r="G150" s="1"/>
    </row>
    <row r="151" spans="3:7" x14ac:dyDescent="0.2">
      <c r="C151" s="1"/>
      <c r="D151" s="1"/>
      <c r="E151" s="1"/>
      <c r="G151" s="1"/>
    </row>
    <row r="152" spans="3:7" x14ac:dyDescent="0.2">
      <c r="C152" s="1"/>
      <c r="D152" s="1"/>
      <c r="E152" s="1"/>
      <c r="G152" s="1"/>
    </row>
    <row r="153" spans="3:7" x14ac:dyDescent="0.2">
      <c r="C153" s="1"/>
      <c r="D153" s="12"/>
      <c r="E153" s="1"/>
      <c r="G153" s="1"/>
    </row>
    <row r="154" spans="3:7" x14ac:dyDescent="0.2">
      <c r="C154" s="1"/>
      <c r="D154" s="7"/>
      <c r="E154" s="1"/>
      <c r="G154" s="1"/>
    </row>
    <row r="155" spans="3:7" x14ac:dyDescent="0.2">
      <c r="C155" s="1"/>
      <c r="D155" s="12"/>
      <c r="E155" s="1"/>
      <c r="G155" s="1"/>
    </row>
    <row r="156" spans="3:7" x14ac:dyDescent="0.2">
      <c r="C156" s="1"/>
      <c r="D156" s="1"/>
      <c r="E156" s="1"/>
      <c r="G156" s="1"/>
    </row>
    <row r="157" spans="3:7" x14ac:dyDescent="0.2">
      <c r="C157" s="1"/>
      <c r="D157" s="1"/>
      <c r="E157" s="1"/>
      <c r="G157" s="1"/>
    </row>
    <row r="158" spans="3:7" x14ac:dyDescent="0.2">
      <c r="C158" s="1"/>
      <c r="D158" s="1"/>
      <c r="E158" s="1"/>
      <c r="G158" s="1"/>
    </row>
    <row r="159" spans="3:7" x14ac:dyDescent="0.2">
      <c r="C159" s="1"/>
      <c r="D159" s="7"/>
      <c r="E159" s="1"/>
      <c r="G159" s="1"/>
    </row>
    <row r="160" spans="3:7" x14ac:dyDescent="0.2">
      <c r="C160" s="1"/>
      <c r="D160" s="1"/>
      <c r="E160" s="1"/>
      <c r="G160" s="1"/>
    </row>
    <row r="161" spans="3:7" x14ac:dyDescent="0.2">
      <c r="C161" s="1"/>
      <c r="D161" s="1"/>
      <c r="E161" s="1"/>
      <c r="G161" s="1"/>
    </row>
    <row r="162" spans="3:7" x14ac:dyDescent="0.2">
      <c r="C162" s="1"/>
      <c r="D162" s="1"/>
      <c r="E162" s="1"/>
      <c r="G162" s="1"/>
    </row>
    <row r="163" spans="3:7" x14ac:dyDescent="0.2">
      <c r="C163" s="1"/>
      <c r="D163" s="1"/>
      <c r="E163" s="1"/>
      <c r="G163" s="1"/>
    </row>
    <row r="164" spans="3:7" x14ac:dyDescent="0.2">
      <c r="C164" s="1"/>
      <c r="D164" s="1"/>
      <c r="E164" s="1"/>
      <c r="G164" s="1"/>
    </row>
    <row r="165" spans="3:7" x14ac:dyDescent="0.2">
      <c r="C165" s="1"/>
      <c r="D165" s="1"/>
      <c r="E165" s="1"/>
      <c r="G165" s="1"/>
    </row>
    <row r="166" spans="3:7" x14ac:dyDescent="0.2">
      <c r="C166" s="1"/>
      <c r="D166" s="1"/>
      <c r="E166" s="1"/>
      <c r="G166" s="1"/>
    </row>
    <row r="167" spans="3:7" x14ac:dyDescent="0.2">
      <c r="C167" s="1"/>
      <c r="D167" s="1"/>
      <c r="E167" s="1"/>
      <c r="G167" s="1"/>
    </row>
    <row r="168" spans="3:7" x14ac:dyDescent="0.2">
      <c r="C168" s="1"/>
      <c r="D168" s="1"/>
      <c r="E168" s="1"/>
      <c r="G168" s="1"/>
    </row>
    <row r="169" spans="3:7" x14ac:dyDescent="0.2">
      <c r="C169" s="1"/>
      <c r="D169" s="1"/>
      <c r="E169" s="1"/>
      <c r="G169" s="1"/>
    </row>
    <row r="170" spans="3:7" x14ac:dyDescent="0.2">
      <c r="C170" s="1"/>
      <c r="D170" s="1"/>
      <c r="E170" s="1"/>
      <c r="G170" s="1"/>
    </row>
    <row r="171" spans="3:7" x14ac:dyDescent="0.2">
      <c r="C171" s="1"/>
      <c r="D171" s="1"/>
      <c r="E171" s="1"/>
      <c r="G171" s="1"/>
    </row>
    <row r="172" spans="3:7" x14ac:dyDescent="0.2">
      <c r="C172" s="1"/>
      <c r="D172" s="12"/>
      <c r="E172" s="1"/>
      <c r="G172" s="1"/>
    </row>
    <row r="173" spans="3:7" x14ac:dyDescent="0.2">
      <c r="C173" s="1"/>
      <c r="D173" s="12"/>
      <c r="E173" s="1"/>
      <c r="G173" s="1"/>
    </row>
    <row r="174" spans="3:7" x14ac:dyDescent="0.2">
      <c r="C174" s="1"/>
      <c r="D174" s="1"/>
      <c r="E174" s="1"/>
      <c r="G174" s="1"/>
    </row>
    <row r="175" spans="3:7" x14ac:dyDescent="0.2">
      <c r="C175" s="1"/>
      <c r="D175" s="1"/>
      <c r="E175" s="1"/>
      <c r="G175" s="1"/>
    </row>
    <row r="176" spans="3:7" x14ac:dyDescent="0.2">
      <c r="C176" s="1"/>
      <c r="D176" s="1"/>
      <c r="E176" s="1"/>
      <c r="G176" s="1"/>
    </row>
    <row r="177" spans="3:7" x14ac:dyDescent="0.2">
      <c r="C177" s="1"/>
      <c r="D177" s="1"/>
      <c r="E177" s="1"/>
      <c r="G177" s="1"/>
    </row>
    <row r="178" spans="3:7" x14ac:dyDescent="0.2">
      <c r="C178" s="1"/>
      <c r="D178" s="1"/>
      <c r="E178" s="1"/>
      <c r="G178" s="1"/>
    </row>
    <row r="179" spans="3:7" x14ac:dyDescent="0.2">
      <c r="C179" s="1"/>
      <c r="D179" s="1"/>
      <c r="E179" s="1"/>
      <c r="G179" s="1"/>
    </row>
    <row r="180" spans="3:7" x14ac:dyDescent="0.2">
      <c r="C180" s="1"/>
      <c r="D180" s="1"/>
      <c r="E180" s="1"/>
      <c r="G180" s="1"/>
    </row>
    <row r="181" spans="3:7" x14ac:dyDescent="0.2">
      <c r="C181" s="1"/>
      <c r="D181" s="1"/>
      <c r="E181" s="1"/>
      <c r="G181" s="1"/>
    </row>
    <row r="182" spans="3:7" x14ac:dyDescent="0.2">
      <c r="C182" s="1"/>
      <c r="D182" s="1"/>
      <c r="E182" s="1"/>
      <c r="G182" s="1"/>
    </row>
    <row r="183" spans="3:7" x14ac:dyDescent="0.2">
      <c r="C183" s="1"/>
      <c r="D183" s="1"/>
      <c r="E183" s="1"/>
      <c r="G183" s="1"/>
    </row>
    <row r="184" spans="3:7" x14ac:dyDescent="0.2">
      <c r="C184" s="1"/>
      <c r="D184" s="1"/>
      <c r="E184" s="1"/>
      <c r="G184" s="1"/>
    </row>
    <row r="185" spans="3:7" x14ac:dyDescent="0.2">
      <c r="C185" s="1"/>
      <c r="D185" s="1"/>
      <c r="E185" s="1"/>
      <c r="G185" s="1"/>
    </row>
    <row r="186" spans="3:7" x14ac:dyDescent="0.2">
      <c r="C186" s="1"/>
      <c r="D186" s="1"/>
      <c r="E186" s="1"/>
      <c r="G186" s="1"/>
    </row>
    <row r="187" spans="3:7" x14ac:dyDescent="0.2">
      <c r="C187" s="1"/>
      <c r="D187" s="1"/>
      <c r="E187" s="1"/>
      <c r="G187" s="1"/>
    </row>
    <row r="188" spans="3:7" x14ac:dyDescent="0.2">
      <c r="C188" s="1"/>
      <c r="D188" s="1"/>
      <c r="E188" s="1"/>
      <c r="G188" s="1"/>
    </row>
    <row r="189" spans="3:7" x14ac:dyDescent="0.2">
      <c r="C189" s="1"/>
      <c r="D189" s="1"/>
      <c r="E189" s="1"/>
      <c r="G189" s="1"/>
    </row>
    <row r="190" spans="3:7" x14ac:dyDescent="0.2">
      <c r="C190" s="1"/>
      <c r="D190" s="1"/>
      <c r="E190" s="1"/>
      <c r="G190" s="1"/>
    </row>
    <row r="191" spans="3:7" x14ac:dyDescent="0.2">
      <c r="C191" s="1"/>
      <c r="D191" s="1"/>
      <c r="E191" s="1"/>
      <c r="G191" s="1"/>
    </row>
    <row r="192" spans="3:7" x14ac:dyDescent="0.2">
      <c r="C192" s="1"/>
      <c r="D192" s="1"/>
      <c r="E192" s="1"/>
      <c r="G192" s="1"/>
    </row>
    <row r="193" spans="3:7" x14ac:dyDescent="0.2">
      <c r="C193" s="1"/>
      <c r="D193" s="44"/>
      <c r="E193" s="1"/>
      <c r="G193" s="1"/>
    </row>
    <row r="194" spans="3:7" x14ac:dyDescent="0.2">
      <c r="C194" s="1"/>
      <c r="D194" s="1"/>
      <c r="E194" s="1"/>
      <c r="G194" s="1"/>
    </row>
    <row r="195" spans="3:7" x14ac:dyDescent="0.2">
      <c r="C195" s="1"/>
      <c r="D195" s="1"/>
      <c r="E195" s="1"/>
      <c r="G195" s="1"/>
    </row>
    <row r="196" spans="3:7" x14ac:dyDescent="0.2">
      <c r="C196" s="1"/>
      <c r="D196" s="1"/>
      <c r="E196" s="1"/>
      <c r="G196" s="1"/>
    </row>
    <row r="197" spans="3:7" x14ac:dyDescent="0.2">
      <c r="C197" s="1"/>
      <c r="D197" s="1"/>
      <c r="E197" s="1"/>
      <c r="G197" s="1"/>
    </row>
    <row r="198" spans="3:7" x14ac:dyDescent="0.2">
      <c r="C198" s="1"/>
      <c r="D198" s="1"/>
      <c r="E198" s="1"/>
      <c r="G198" s="1"/>
    </row>
    <row r="199" spans="3:7" x14ac:dyDescent="0.2">
      <c r="C199" s="1"/>
      <c r="D199" s="1"/>
      <c r="E199" s="1"/>
      <c r="G199" s="1"/>
    </row>
    <row r="200" spans="3:7" x14ac:dyDescent="0.2">
      <c r="C200" s="1"/>
      <c r="D200" s="1"/>
      <c r="E200" s="1"/>
      <c r="G200" s="1"/>
    </row>
    <row r="201" spans="3:7" x14ac:dyDescent="0.2">
      <c r="C201" s="1"/>
      <c r="D201" s="1"/>
      <c r="E201" s="1"/>
      <c r="G201" s="1"/>
    </row>
    <row r="202" spans="3:7" x14ac:dyDescent="0.2">
      <c r="C202" s="1"/>
      <c r="D202" s="1"/>
      <c r="E202" s="1"/>
      <c r="G202" s="1"/>
    </row>
    <row r="203" spans="3:7" x14ac:dyDescent="0.2">
      <c r="C203" s="1"/>
      <c r="D203" s="1"/>
      <c r="E203" s="1"/>
      <c r="G203" s="1"/>
    </row>
    <row r="204" spans="3:7" x14ac:dyDescent="0.2">
      <c r="C204" s="1"/>
      <c r="D204" s="1"/>
      <c r="E204" s="1"/>
      <c r="G204" s="1"/>
    </row>
    <row r="205" spans="3:7" x14ac:dyDescent="0.2">
      <c r="C205" s="1"/>
      <c r="D205" s="1"/>
      <c r="E205" s="1"/>
      <c r="G205" s="1"/>
    </row>
    <row r="206" spans="3:7" x14ac:dyDescent="0.2">
      <c r="C206" s="1"/>
      <c r="D206" s="1"/>
      <c r="E206" s="1"/>
      <c r="G206" s="1"/>
    </row>
    <row r="207" spans="3:7" x14ac:dyDescent="0.2">
      <c r="C207" s="1"/>
      <c r="D207" s="1"/>
      <c r="E207" s="1"/>
      <c r="G207" s="1"/>
    </row>
    <row r="208" spans="3:7" x14ac:dyDescent="0.2">
      <c r="C208" s="1"/>
      <c r="D208" s="1"/>
      <c r="E208" s="1"/>
      <c r="G208" s="1"/>
    </row>
    <row r="209" spans="3:7" x14ac:dyDescent="0.2">
      <c r="C209" s="1"/>
      <c r="D209" s="1"/>
      <c r="E209" s="1"/>
      <c r="G209" s="1"/>
    </row>
    <row r="210" spans="3:7" x14ac:dyDescent="0.2">
      <c r="C210" s="1"/>
      <c r="D210" s="1"/>
      <c r="E210" s="1"/>
      <c r="G210" s="1"/>
    </row>
    <row r="211" spans="3:7" x14ac:dyDescent="0.2">
      <c r="C211" s="1"/>
      <c r="D211" s="1"/>
      <c r="E211" s="1"/>
      <c r="G211" s="1"/>
    </row>
    <row r="212" spans="3:7" x14ac:dyDescent="0.2">
      <c r="C212" s="1"/>
      <c r="D212" s="1"/>
      <c r="E212" s="1"/>
      <c r="G212" s="1"/>
    </row>
    <row r="213" spans="3:7" x14ac:dyDescent="0.2">
      <c r="C213" s="1"/>
      <c r="D213" s="1"/>
      <c r="E213" s="1"/>
      <c r="G213" s="1"/>
    </row>
    <row r="214" spans="3:7" x14ac:dyDescent="0.2">
      <c r="C214" s="1"/>
      <c r="D214" s="1"/>
      <c r="E214" s="1"/>
      <c r="G214" s="1"/>
    </row>
    <row r="215" spans="3:7" x14ac:dyDescent="0.2">
      <c r="C215" s="1"/>
      <c r="D215" s="1"/>
      <c r="E215" s="1"/>
      <c r="G215" s="1"/>
    </row>
    <row r="216" spans="3:7" x14ac:dyDescent="0.2">
      <c r="C216" s="1"/>
      <c r="D216" s="1"/>
      <c r="E216" s="1"/>
      <c r="G216" s="1"/>
    </row>
    <row r="217" spans="3:7" x14ac:dyDescent="0.2">
      <c r="C217" s="1"/>
      <c r="D217" s="1"/>
      <c r="E217" s="1"/>
      <c r="G217" s="1"/>
    </row>
    <row r="218" spans="3:7" x14ac:dyDescent="0.2">
      <c r="C218" s="1"/>
      <c r="D218" s="1"/>
      <c r="E218" s="1"/>
      <c r="G218" s="1"/>
    </row>
    <row r="219" spans="3:7" x14ac:dyDescent="0.2">
      <c r="C219" s="1"/>
      <c r="D219" s="1"/>
      <c r="E219" s="1"/>
      <c r="G219" s="1"/>
    </row>
    <row r="220" spans="3:7" x14ac:dyDescent="0.2">
      <c r="C220" s="1"/>
      <c r="D220" s="1"/>
      <c r="E220" s="1"/>
      <c r="G220" s="1"/>
    </row>
    <row r="221" spans="3:7" x14ac:dyDescent="0.2">
      <c r="C221" s="1"/>
      <c r="D221" s="1"/>
      <c r="E221" s="1"/>
      <c r="G221" s="1"/>
    </row>
    <row r="222" spans="3:7" x14ac:dyDescent="0.2">
      <c r="C222" s="1"/>
      <c r="D222" s="1"/>
      <c r="E222" s="1"/>
      <c r="G222" s="1"/>
    </row>
    <row r="223" spans="3:7" x14ac:dyDescent="0.2">
      <c r="C223" s="1"/>
      <c r="D223" s="1"/>
      <c r="E223" s="1"/>
      <c r="G223" s="1"/>
    </row>
    <row r="224" spans="3:7" x14ac:dyDescent="0.2">
      <c r="C224" s="1"/>
      <c r="D224" s="1"/>
      <c r="E224" s="1"/>
      <c r="G224" s="1"/>
    </row>
    <row r="225" spans="3:7" x14ac:dyDescent="0.2">
      <c r="C225" s="1"/>
      <c r="D225" s="45"/>
      <c r="E225" s="1"/>
      <c r="G225" s="1"/>
    </row>
    <row r="226" spans="3:7" x14ac:dyDescent="0.2">
      <c r="C226" s="1"/>
      <c r="D226" s="1"/>
      <c r="E226" s="1"/>
      <c r="G226" s="1"/>
    </row>
    <row r="227" spans="3:7" x14ac:dyDescent="0.2">
      <c r="C227" s="1"/>
      <c r="D227" s="1"/>
      <c r="E227" s="1"/>
      <c r="G227" s="1"/>
    </row>
    <row r="228" spans="3:7" x14ac:dyDescent="0.2">
      <c r="C228" s="1"/>
      <c r="D228" s="1"/>
      <c r="E228" s="1"/>
      <c r="G228" s="1"/>
    </row>
    <row r="229" spans="3:7" x14ac:dyDescent="0.2">
      <c r="C229" s="1"/>
      <c r="D229" s="1"/>
      <c r="E229" s="1"/>
      <c r="G229" s="1"/>
    </row>
    <row r="230" spans="3:7" x14ac:dyDescent="0.2">
      <c r="C230" s="1"/>
      <c r="D230" s="1"/>
      <c r="E230" s="1"/>
      <c r="G230" s="1"/>
    </row>
    <row r="231" spans="3:7" x14ac:dyDescent="0.2">
      <c r="C231" s="1"/>
      <c r="D231" s="1"/>
      <c r="E231" s="1"/>
      <c r="G231" s="1"/>
    </row>
    <row r="232" spans="3:7" x14ac:dyDescent="0.2">
      <c r="C232" s="1"/>
      <c r="D232" s="1"/>
      <c r="E232" s="1"/>
      <c r="G232" s="1"/>
    </row>
    <row r="233" spans="3:7" x14ac:dyDescent="0.2">
      <c r="C233" s="1"/>
      <c r="D233" s="1"/>
      <c r="E233" s="1"/>
      <c r="G233" s="1"/>
    </row>
    <row r="234" spans="3:7" x14ac:dyDescent="0.2">
      <c r="C234" s="1"/>
      <c r="D234" s="1"/>
      <c r="E234" s="1"/>
      <c r="G234" s="1"/>
    </row>
    <row r="235" spans="3:7" x14ac:dyDescent="0.2">
      <c r="C235" s="1"/>
      <c r="D235" s="1"/>
      <c r="E235" s="1"/>
      <c r="G235" s="1"/>
    </row>
    <row r="236" spans="3:7" x14ac:dyDescent="0.2">
      <c r="C236" s="1"/>
      <c r="D236" s="1"/>
      <c r="E236" s="1"/>
      <c r="G236" s="1"/>
    </row>
    <row r="237" spans="3:7" x14ac:dyDescent="0.2">
      <c r="C237" s="1"/>
      <c r="D237" s="1"/>
      <c r="E237" s="1"/>
      <c r="G237" s="1"/>
    </row>
    <row r="238" spans="3:7" x14ac:dyDescent="0.2">
      <c r="C238" s="1"/>
      <c r="D238" s="1"/>
      <c r="E238" s="1"/>
      <c r="G238" s="1"/>
    </row>
    <row r="239" spans="3:7" x14ac:dyDescent="0.2">
      <c r="C239" s="1"/>
      <c r="D239" s="1"/>
      <c r="E239" s="1"/>
      <c r="G239" s="1"/>
    </row>
    <row r="240" spans="3:7" x14ac:dyDescent="0.2">
      <c r="C240" s="1"/>
      <c r="D240" s="1"/>
      <c r="E240" s="1"/>
      <c r="G240" s="1"/>
    </row>
    <row r="241" spans="3:7" x14ac:dyDescent="0.2">
      <c r="C241" s="1"/>
      <c r="D241" s="1"/>
      <c r="E241" s="1"/>
      <c r="G241" s="1"/>
    </row>
    <row r="242" spans="3:7" x14ac:dyDescent="0.2">
      <c r="C242" s="1"/>
      <c r="D242" s="1"/>
      <c r="E242" s="1"/>
      <c r="G242" s="1"/>
    </row>
    <row r="243" spans="3:7" x14ac:dyDescent="0.2">
      <c r="C243" s="1"/>
      <c r="D243" s="1"/>
      <c r="E243" s="1"/>
      <c r="G243" s="1"/>
    </row>
    <row r="244" spans="3:7" x14ac:dyDescent="0.2">
      <c r="C244" s="1"/>
      <c r="D244" s="1"/>
      <c r="E244" s="1"/>
      <c r="G244" s="1"/>
    </row>
    <row r="245" spans="3:7" x14ac:dyDescent="0.2">
      <c r="C245" s="1"/>
      <c r="D245" s="1"/>
      <c r="E245" s="1"/>
      <c r="G245" s="1"/>
    </row>
    <row r="246" spans="3:7" x14ac:dyDescent="0.2">
      <c r="C246" s="1"/>
      <c r="D246" s="1"/>
      <c r="E246" s="1"/>
      <c r="G246" s="1"/>
    </row>
    <row r="247" spans="3:7" x14ac:dyDescent="0.2">
      <c r="C247" s="1"/>
      <c r="D247" s="1"/>
      <c r="E247" s="1"/>
      <c r="G247" s="1"/>
    </row>
    <row r="248" spans="3:7" x14ac:dyDescent="0.2">
      <c r="C248" s="1"/>
      <c r="D248" s="1"/>
      <c r="E248" s="1"/>
      <c r="G248" s="1"/>
    </row>
    <row r="249" spans="3:7" x14ac:dyDescent="0.2">
      <c r="C249" s="1"/>
      <c r="D249" s="1"/>
      <c r="E249" s="1"/>
      <c r="G249" s="1"/>
    </row>
    <row r="250" spans="3:7" x14ac:dyDescent="0.2">
      <c r="C250" s="1"/>
      <c r="D250" s="48"/>
      <c r="E250" s="1"/>
      <c r="G250" s="1"/>
    </row>
    <row r="251" spans="3:7" x14ac:dyDescent="0.2">
      <c r="C251" s="1"/>
      <c r="D251" s="48"/>
      <c r="E251" s="1"/>
      <c r="G251" s="1"/>
    </row>
    <row r="252" spans="3:7" x14ac:dyDescent="0.2">
      <c r="C252" s="1"/>
      <c r="D252" s="1"/>
      <c r="E252" s="1"/>
      <c r="G252" s="1"/>
    </row>
    <row r="253" spans="3:7" x14ac:dyDescent="0.2">
      <c r="C253" s="1"/>
      <c r="D253" s="1"/>
      <c r="E253" s="1"/>
      <c r="G253" s="1"/>
    </row>
    <row r="254" spans="3:7" x14ac:dyDescent="0.2">
      <c r="C254" s="1"/>
      <c r="D254" s="1"/>
      <c r="E254" s="1"/>
      <c r="G254" s="1"/>
    </row>
    <row r="255" spans="3:7" x14ac:dyDescent="0.2">
      <c r="C255" s="1"/>
      <c r="D255" s="1"/>
      <c r="E255" s="1"/>
      <c r="G255" s="1"/>
    </row>
    <row r="256" spans="3:7" x14ac:dyDescent="0.2">
      <c r="C256" s="1"/>
      <c r="D256" s="50"/>
      <c r="E256" s="1"/>
      <c r="G256" s="1"/>
    </row>
    <row r="257" spans="3:7" x14ac:dyDescent="0.2">
      <c r="C257" s="1"/>
      <c r="D257" s="50"/>
      <c r="E257" s="1"/>
      <c r="G257" s="1"/>
    </row>
    <row r="258" spans="3:7" x14ac:dyDescent="0.2">
      <c r="C258" s="1"/>
      <c r="D258" s="1"/>
      <c r="E258" s="1"/>
      <c r="G258" s="1"/>
    </row>
    <row r="259" spans="3:7" x14ac:dyDescent="0.2">
      <c r="C259" s="1"/>
      <c r="D259" s="1"/>
      <c r="E259" s="1"/>
      <c r="G259" s="1"/>
    </row>
    <row r="260" spans="3:7" x14ac:dyDescent="0.2">
      <c r="C260" s="1"/>
      <c r="D260" s="1"/>
      <c r="E260" s="1"/>
      <c r="G260" s="1"/>
    </row>
    <row r="261" spans="3:7" x14ac:dyDescent="0.2">
      <c r="C261" s="1"/>
      <c r="D261" s="1"/>
      <c r="E261" s="1"/>
      <c r="G261" s="1"/>
    </row>
    <row r="262" spans="3:7" x14ac:dyDescent="0.2">
      <c r="C262" s="1"/>
      <c r="D262" s="1"/>
      <c r="E262" s="1"/>
      <c r="G262" s="1"/>
    </row>
    <row r="263" spans="3:7" x14ac:dyDescent="0.2">
      <c r="C263" s="1"/>
      <c r="D263" s="46"/>
      <c r="E263" s="1"/>
      <c r="G263" s="1"/>
    </row>
    <row r="264" spans="3:7" x14ac:dyDescent="0.2">
      <c r="C264" s="1"/>
      <c r="D264" s="52"/>
      <c r="E264" s="1"/>
      <c r="G264" s="1"/>
    </row>
    <row r="265" spans="3:7" x14ac:dyDescent="0.2">
      <c r="C265" s="1"/>
      <c r="D265" s="50"/>
      <c r="E265" s="1"/>
      <c r="G265" s="1"/>
    </row>
    <row r="266" spans="3:7" x14ac:dyDescent="0.2">
      <c r="C266" s="1"/>
      <c r="D266" s="50"/>
      <c r="E266" s="1"/>
      <c r="G266" s="1"/>
    </row>
    <row r="267" spans="3:7" x14ac:dyDescent="0.2">
      <c r="C267" s="1"/>
      <c r="D267" s="50"/>
      <c r="E267" s="1"/>
      <c r="G267" s="1"/>
    </row>
    <row r="268" spans="3:7" x14ac:dyDescent="0.2">
      <c r="C268" s="1"/>
      <c r="D268" s="50"/>
      <c r="E268" s="1"/>
      <c r="G268" s="1"/>
    </row>
    <row r="269" spans="3:7" x14ac:dyDescent="0.2">
      <c r="C269" s="1"/>
      <c r="D269" s="50"/>
      <c r="E269" s="1"/>
      <c r="G269" s="1"/>
    </row>
    <row r="270" spans="3:7" x14ac:dyDescent="0.2">
      <c r="C270" s="1"/>
      <c r="D270" s="1"/>
      <c r="E270" s="1"/>
      <c r="G270" s="1"/>
    </row>
    <row r="271" spans="3:7" x14ac:dyDescent="0.2">
      <c r="C271" s="1"/>
      <c r="D271" s="7"/>
      <c r="E271" s="1"/>
      <c r="G271" s="1"/>
    </row>
    <row r="272" spans="3:7" x14ac:dyDescent="0.2">
      <c r="C272" s="1"/>
      <c r="D272" s="1"/>
      <c r="E272" s="1"/>
      <c r="G272" s="1"/>
    </row>
    <row r="273" spans="3:7" x14ac:dyDescent="0.2">
      <c r="C273" s="1"/>
      <c r="D273" s="1"/>
      <c r="E273" s="1"/>
      <c r="G273" s="1"/>
    </row>
    <row r="274" spans="3:7" x14ac:dyDescent="0.2">
      <c r="C274" s="1"/>
      <c r="D274" s="1"/>
      <c r="E274" s="1"/>
      <c r="G274" s="1"/>
    </row>
    <row r="275" spans="3:7" x14ac:dyDescent="0.2">
      <c r="C275" s="1"/>
      <c r="D275" s="1"/>
      <c r="E275" s="1"/>
      <c r="G275" s="1"/>
    </row>
    <row r="276" spans="3:7" x14ac:dyDescent="0.2">
      <c r="C276" s="1"/>
      <c r="D276" s="1"/>
      <c r="E276" s="1"/>
      <c r="G276" s="1"/>
    </row>
    <row r="277" spans="3:7" x14ac:dyDescent="0.2">
      <c r="C277" s="1"/>
      <c r="D277" s="50"/>
      <c r="E277" s="1"/>
      <c r="G277" s="1"/>
    </row>
    <row r="278" spans="3:7" x14ac:dyDescent="0.2">
      <c r="C278" s="1"/>
      <c r="D278" s="50"/>
      <c r="E278" s="1"/>
      <c r="G278" s="1"/>
    </row>
    <row r="279" spans="3:7" x14ac:dyDescent="0.2">
      <c r="C279" s="1"/>
      <c r="D279" s="50"/>
      <c r="E279" s="1"/>
      <c r="G279" s="1"/>
    </row>
    <row r="280" spans="3:7" x14ac:dyDescent="0.2">
      <c r="C280" s="1"/>
      <c r="D280" s="50"/>
      <c r="E280" s="1"/>
      <c r="G280" s="1"/>
    </row>
    <row r="281" spans="3:7" x14ac:dyDescent="0.2">
      <c r="C281" s="1"/>
      <c r="D281" s="50"/>
      <c r="E281" s="1"/>
      <c r="G281" s="1"/>
    </row>
    <row r="282" spans="3:7" x14ac:dyDescent="0.2">
      <c r="C282" s="1"/>
      <c r="D282" s="1"/>
      <c r="E282" s="1"/>
      <c r="G282" s="1"/>
    </row>
    <row r="283" spans="3:7" x14ac:dyDescent="0.2">
      <c r="C283" s="1"/>
      <c r="D283" s="47"/>
      <c r="E283" s="1"/>
      <c r="G283" s="1"/>
    </row>
    <row r="284" spans="3:7" x14ac:dyDescent="0.2">
      <c r="C284" s="1"/>
      <c r="D284" s="1"/>
      <c r="E284" s="1"/>
      <c r="G284" s="1"/>
    </row>
    <row r="285" spans="3:7" x14ac:dyDescent="0.2">
      <c r="C285" s="1"/>
      <c r="D285" s="1"/>
      <c r="E285" s="1"/>
      <c r="G285" s="1"/>
    </row>
    <row r="286" spans="3:7" x14ac:dyDescent="0.2">
      <c r="C286" s="1"/>
      <c r="D286" s="1"/>
      <c r="E286" s="1"/>
      <c r="G286" s="1"/>
    </row>
    <row r="287" spans="3:7" x14ac:dyDescent="0.2">
      <c r="C287" s="1"/>
      <c r="D287" s="1"/>
      <c r="E287" s="1"/>
      <c r="G287" s="1"/>
    </row>
    <row r="288" spans="3:7" x14ac:dyDescent="0.2">
      <c r="C288" s="1"/>
      <c r="D288" s="12"/>
      <c r="E288" s="1"/>
      <c r="G288" s="1"/>
    </row>
    <row r="289" spans="1:7" x14ac:dyDescent="0.2">
      <c r="C289" s="1"/>
      <c r="D289" s="12"/>
      <c r="E289" s="1"/>
      <c r="G289" s="1"/>
    </row>
    <row r="290" spans="1:7" x14ac:dyDescent="0.2">
      <c r="C290" s="1"/>
      <c r="D290" s="12"/>
      <c r="E290" s="1"/>
      <c r="G290" s="1"/>
    </row>
    <row r="291" spans="1:7" x14ac:dyDescent="0.2">
      <c r="C291" s="1"/>
      <c r="D291" s="12"/>
      <c r="E291" s="1"/>
      <c r="G291" s="1"/>
    </row>
    <row r="292" spans="1:7" s="12" customFormat="1" x14ac:dyDescent="0.2">
      <c r="A292"/>
      <c r="B292" s="1"/>
      <c r="C292" s="1"/>
      <c r="E292" s="1"/>
      <c r="F292" s="1"/>
      <c r="G292" s="1"/>
    </row>
    <row r="293" spans="1:7" s="12" customFormat="1" x14ac:dyDescent="0.2">
      <c r="A293"/>
    </row>
    <row r="294" spans="1:7" s="12" customFormat="1" x14ac:dyDescent="0.2">
      <c r="A294" s="1"/>
      <c r="D294" s="1"/>
    </row>
    <row r="295" spans="1:7" s="12" customFormat="1" x14ac:dyDescent="0.2"/>
    <row r="296" spans="1:7" s="12" customFormat="1" x14ac:dyDescent="0.2"/>
    <row r="297" spans="1:7" s="12" customFormat="1" x14ac:dyDescent="0.2"/>
    <row r="298" spans="1:7" s="12" customFormat="1" x14ac:dyDescent="0.2">
      <c r="D298" s="1"/>
    </row>
    <row r="299" spans="1:7" x14ac:dyDescent="0.2">
      <c r="A299" s="12"/>
      <c r="B299" s="12"/>
      <c r="C299" s="12"/>
      <c r="D299" s="1"/>
      <c r="E299" s="12"/>
      <c r="F299" s="12"/>
      <c r="G299" s="12"/>
    </row>
    <row r="300" spans="1:7" x14ac:dyDescent="0.2">
      <c r="A300" s="12"/>
      <c r="C300" s="1"/>
      <c r="D300" s="1"/>
      <c r="E300" s="1"/>
      <c r="G300" s="1"/>
    </row>
    <row r="301" spans="1:7" x14ac:dyDescent="0.2">
      <c r="A301" s="12"/>
      <c r="C301" s="1"/>
      <c r="D301" s="1"/>
      <c r="E301" s="1"/>
      <c r="G301" s="1"/>
    </row>
    <row r="302" spans="1:7" x14ac:dyDescent="0.2">
      <c r="C302" s="1"/>
      <c r="D302" s="7"/>
      <c r="E302" s="1"/>
      <c r="G302" s="1"/>
    </row>
    <row r="303" spans="1:7" x14ac:dyDescent="0.2">
      <c r="C303" s="1"/>
      <c r="D303" s="1"/>
      <c r="E303" s="1"/>
      <c r="G303" s="1"/>
    </row>
    <row r="304" spans="1:7" x14ac:dyDescent="0.2">
      <c r="C304" s="1"/>
      <c r="D304" s="1"/>
      <c r="E304" s="1"/>
      <c r="G304" s="1"/>
    </row>
    <row r="305" spans="3:7" x14ac:dyDescent="0.2">
      <c r="C305" s="1"/>
      <c r="D305" s="1"/>
      <c r="E305" s="1"/>
      <c r="G305" s="1"/>
    </row>
    <row r="306" spans="3:7" x14ac:dyDescent="0.2">
      <c r="C306" s="1"/>
      <c r="D306" s="1"/>
      <c r="E306" s="1"/>
      <c r="G306" s="1"/>
    </row>
    <row r="307" spans="3:7" x14ac:dyDescent="0.2">
      <c r="C307" s="1"/>
      <c r="D307" s="1"/>
      <c r="E307" s="1"/>
      <c r="G307" s="1"/>
    </row>
    <row r="308" spans="3:7" x14ac:dyDescent="0.2">
      <c r="C308" s="1"/>
      <c r="D308" s="1"/>
      <c r="E308" s="1"/>
      <c r="G308" s="1"/>
    </row>
    <row r="309" spans="3:7" x14ac:dyDescent="0.2">
      <c r="C309" s="1"/>
      <c r="D309" s="1"/>
      <c r="E309" s="1"/>
      <c r="G309" s="1"/>
    </row>
    <row r="310" spans="3:7" x14ac:dyDescent="0.2">
      <c r="C310" s="1"/>
      <c r="D310" s="1"/>
      <c r="E310" s="1"/>
      <c r="G310" s="1"/>
    </row>
    <row r="311" spans="3:7" x14ac:dyDescent="0.2">
      <c r="C311" s="1"/>
      <c r="D311" s="1"/>
      <c r="E311" s="1"/>
      <c r="G311" s="1"/>
    </row>
    <row r="312" spans="3:7" x14ac:dyDescent="0.2">
      <c r="C312" s="1"/>
      <c r="D312" s="1"/>
      <c r="E312" s="1"/>
      <c r="G312" s="1"/>
    </row>
    <row r="313" spans="3:7" x14ac:dyDescent="0.2">
      <c r="C313" s="1"/>
      <c r="D313" s="1"/>
      <c r="E313" s="1"/>
      <c r="G313" s="1"/>
    </row>
    <row r="314" spans="3:7" x14ac:dyDescent="0.2">
      <c r="C314" s="1"/>
      <c r="D314" s="1"/>
      <c r="E314" s="1"/>
      <c r="G314" s="1"/>
    </row>
    <row r="315" spans="3:7" x14ac:dyDescent="0.2">
      <c r="C315" s="1"/>
      <c r="D315" s="1"/>
      <c r="E315" s="1"/>
      <c r="G315" s="1"/>
    </row>
    <row r="316" spans="3:7" x14ac:dyDescent="0.2">
      <c r="C316" s="1"/>
      <c r="D316" s="1"/>
      <c r="E316" s="1"/>
      <c r="G316" s="1"/>
    </row>
    <row r="317" spans="3:7" x14ac:dyDescent="0.2">
      <c r="C317" s="1"/>
      <c r="D317" s="1"/>
      <c r="E317" s="1"/>
      <c r="G317" s="1"/>
    </row>
    <row r="318" spans="3:7" x14ac:dyDescent="0.2">
      <c r="C318" s="1"/>
      <c r="D318" s="1"/>
      <c r="E318" s="1"/>
      <c r="G318" s="1"/>
    </row>
    <row r="319" spans="3:7" x14ac:dyDescent="0.2">
      <c r="C319" s="1"/>
      <c r="D319" s="1"/>
      <c r="E319" s="1"/>
      <c r="G319" s="1"/>
    </row>
    <row r="320" spans="3:7" x14ac:dyDescent="0.2">
      <c r="C320" s="1"/>
      <c r="D320" s="1"/>
      <c r="E320" s="1"/>
      <c r="G320" s="1"/>
    </row>
    <row r="321" spans="3:7" x14ac:dyDescent="0.2">
      <c r="C321" s="1"/>
      <c r="D321" s="1"/>
      <c r="E321" s="1"/>
      <c r="G321" s="1"/>
    </row>
    <row r="322" spans="3:7" x14ac:dyDescent="0.2">
      <c r="C322" s="1"/>
      <c r="D322" s="1"/>
      <c r="E322" s="1"/>
      <c r="G322" s="1"/>
    </row>
    <row r="323" spans="3:7" x14ac:dyDescent="0.2">
      <c r="C323" s="1"/>
      <c r="D323" s="1"/>
      <c r="E323" s="1"/>
      <c r="G323" s="1"/>
    </row>
    <row r="324" spans="3:7" x14ac:dyDescent="0.2">
      <c r="C324" s="1"/>
      <c r="D324" s="1"/>
      <c r="E324" s="1"/>
      <c r="G324" s="1"/>
    </row>
    <row r="325" spans="3:7" x14ac:dyDescent="0.2">
      <c r="C325" s="1"/>
      <c r="D325" s="1"/>
      <c r="E325" s="1"/>
      <c r="G325" s="1"/>
    </row>
    <row r="326" spans="3:7" x14ac:dyDescent="0.2">
      <c r="C326" s="1"/>
      <c r="D326" s="1"/>
      <c r="E326" s="1"/>
      <c r="G326" s="1"/>
    </row>
    <row r="327" spans="3:7" x14ac:dyDescent="0.2">
      <c r="C327" s="1"/>
      <c r="D327" s="1"/>
      <c r="E327" s="1"/>
      <c r="G327" s="1"/>
    </row>
    <row r="328" spans="3:7" x14ac:dyDescent="0.2">
      <c r="C328" s="1"/>
      <c r="D328" s="1"/>
      <c r="E328" s="1"/>
      <c r="G328" s="1"/>
    </row>
    <row r="329" spans="3:7" x14ac:dyDescent="0.2">
      <c r="C329" s="1"/>
      <c r="D329" s="1"/>
      <c r="E329" s="1"/>
      <c r="G329" s="1"/>
    </row>
    <row r="330" spans="3:7" x14ac:dyDescent="0.2">
      <c r="C330" s="1"/>
      <c r="D330" s="1"/>
      <c r="E330" s="1"/>
      <c r="G330" s="1"/>
    </row>
    <row r="331" spans="3:7" x14ac:dyDescent="0.2">
      <c r="C331" s="1"/>
      <c r="D331" s="1"/>
      <c r="E331" s="1"/>
      <c r="G331" s="1"/>
    </row>
    <row r="332" spans="3:7" x14ac:dyDescent="0.2">
      <c r="C332" s="1"/>
      <c r="D332" s="1"/>
      <c r="E332" s="1"/>
      <c r="G332" s="1"/>
    </row>
    <row r="333" spans="3:7" x14ac:dyDescent="0.2">
      <c r="C333" s="1"/>
      <c r="D333" s="1"/>
      <c r="E333" s="1"/>
      <c r="G333" s="1"/>
    </row>
    <row r="334" spans="3:7" x14ac:dyDescent="0.2">
      <c r="C334" s="1"/>
      <c r="D334" s="1"/>
      <c r="E334" s="1"/>
      <c r="G334" s="1"/>
    </row>
    <row r="335" spans="3:7" x14ac:dyDescent="0.2">
      <c r="C335" s="1"/>
      <c r="D335" s="1"/>
      <c r="E335" s="1"/>
      <c r="G335" s="1"/>
    </row>
    <row r="336" spans="3:7" x14ac:dyDescent="0.2">
      <c r="C336" s="1"/>
      <c r="D336" s="1"/>
      <c r="E336" s="1"/>
      <c r="G336" s="1"/>
    </row>
    <row r="337" spans="3:7" x14ac:dyDescent="0.2">
      <c r="C337" s="1"/>
      <c r="D337" s="1"/>
      <c r="E337" s="1"/>
      <c r="G337" s="1"/>
    </row>
    <row r="338" spans="3:7" x14ac:dyDescent="0.2">
      <c r="C338" s="1"/>
      <c r="D338" s="1"/>
      <c r="E338" s="1"/>
      <c r="G338" s="1"/>
    </row>
    <row r="339" spans="3:7" x14ac:dyDescent="0.2">
      <c r="C339" s="1"/>
      <c r="D339" s="1"/>
      <c r="E339" s="1"/>
      <c r="G339" s="1"/>
    </row>
    <row r="340" spans="3:7" x14ac:dyDescent="0.2">
      <c r="C340" s="1"/>
      <c r="D340" s="44"/>
      <c r="E340" s="1"/>
      <c r="G340" s="1"/>
    </row>
    <row r="341" spans="3:7" x14ac:dyDescent="0.2">
      <c r="C341" s="1"/>
      <c r="D341" s="1"/>
      <c r="E341" s="1"/>
      <c r="G341" s="1"/>
    </row>
    <row r="342" spans="3:7" x14ac:dyDescent="0.2">
      <c r="C342" s="1"/>
      <c r="D342" s="1"/>
      <c r="E342" s="1"/>
      <c r="G342" s="1"/>
    </row>
    <row r="343" spans="3:7" x14ac:dyDescent="0.2">
      <c r="C343" s="1"/>
      <c r="D343" s="1"/>
      <c r="E343" s="1"/>
      <c r="G343" s="1"/>
    </row>
    <row r="344" spans="3:7" x14ac:dyDescent="0.2">
      <c r="C344" s="1"/>
      <c r="D344" s="7"/>
      <c r="E344" s="1"/>
      <c r="G344" s="1"/>
    </row>
    <row r="345" spans="3:7" x14ac:dyDescent="0.2">
      <c r="C345" s="1"/>
      <c r="D345" s="1"/>
      <c r="E345" s="1"/>
      <c r="G345" s="1"/>
    </row>
    <row r="346" spans="3:7" x14ac:dyDescent="0.2">
      <c r="C346" s="1"/>
      <c r="D346" s="1"/>
      <c r="E346" s="1"/>
      <c r="G346" s="1"/>
    </row>
    <row r="347" spans="3:7" x14ac:dyDescent="0.2">
      <c r="C347" s="1"/>
      <c r="D347" s="1"/>
      <c r="E347" s="1"/>
      <c r="G347" s="1"/>
    </row>
    <row r="348" spans="3:7" x14ac:dyDescent="0.2">
      <c r="C348" s="1"/>
      <c r="D348" s="1"/>
      <c r="G348" s="1"/>
    </row>
    <row r="349" spans="3:7" x14ac:dyDescent="0.2">
      <c r="C349" s="1"/>
      <c r="D349" s="1"/>
      <c r="G349" s="1"/>
    </row>
    <row r="350" spans="3:7" x14ac:dyDescent="0.2">
      <c r="C350" s="1"/>
      <c r="D350" s="1"/>
      <c r="G350" s="1"/>
    </row>
    <row r="351" spans="3:7" x14ac:dyDescent="0.2">
      <c r="C351" s="1"/>
      <c r="D351" s="1"/>
      <c r="G351" s="1"/>
    </row>
    <row r="352" spans="3:7" x14ac:dyDescent="0.2">
      <c r="C352" s="1"/>
      <c r="D352" s="1"/>
      <c r="G352" s="1"/>
    </row>
    <row r="353" spans="3:7" x14ac:dyDescent="0.2">
      <c r="C353" s="1"/>
      <c r="D353" s="1"/>
      <c r="G353" s="1"/>
    </row>
    <row r="354" spans="3:7" x14ac:dyDescent="0.2">
      <c r="C354" s="1"/>
      <c r="D354" s="1"/>
      <c r="G354" s="1"/>
    </row>
    <row r="355" spans="3:7" x14ac:dyDescent="0.2">
      <c r="C355" s="1"/>
      <c r="D355" s="1"/>
      <c r="G355" s="1"/>
    </row>
    <row r="356" spans="3:7" x14ac:dyDescent="0.2">
      <c r="C356" s="1"/>
      <c r="D356" s="1"/>
      <c r="G356" s="1"/>
    </row>
    <row r="357" spans="3:7" x14ac:dyDescent="0.2">
      <c r="C357" s="1"/>
      <c r="D357" s="1"/>
      <c r="G357" s="1"/>
    </row>
    <row r="358" spans="3:7" x14ac:dyDescent="0.2">
      <c r="C358" s="1"/>
      <c r="D358" s="1"/>
      <c r="G358" s="1"/>
    </row>
    <row r="359" spans="3:7" x14ac:dyDescent="0.2">
      <c r="C359" s="1"/>
      <c r="D359" s="1"/>
      <c r="G359" s="1"/>
    </row>
    <row r="360" spans="3:7" x14ac:dyDescent="0.2">
      <c r="C360" s="1"/>
      <c r="D360" s="1"/>
      <c r="G360" s="1"/>
    </row>
    <row r="361" spans="3:7" x14ac:dyDescent="0.2">
      <c r="C361" s="1"/>
      <c r="D361" s="48"/>
      <c r="G361" s="1"/>
    </row>
    <row r="362" spans="3:7" x14ac:dyDescent="0.2">
      <c r="C362" s="1"/>
      <c r="D362" s="7"/>
      <c r="G362" s="1"/>
    </row>
    <row r="363" spans="3:7" x14ac:dyDescent="0.2">
      <c r="C363" s="1"/>
      <c r="D363" s="1"/>
      <c r="G363" s="1"/>
    </row>
    <row r="364" spans="3:7" x14ac:dyDescent="0.2">
      <c r="C364" s="1"/>
      <c r="D364" s="1"/>
      <c r="G364" s="1"/>
    </row>
    <row r="365" spans="3:7" x14ac:dyDescent="0.2">
      <c r="C365" s="1"/>
      <c r="D365" s="1"/>
      <c r="G365" s="1"/>
    </row>
    <row r="366" spans="3:7" x14ac:dyDescent="0.2">
      <c r="C366" s="1"/>
      <c r="D366" s="1"/>
      <c r="G366" s="1"/>
    </row>
    <row r="367" spans="3:7" x14ac:dyDescent="0.2">
      <c r="C367" s="1"/>
      <c r="D367" s="50"/>
      <c r="F367" s="1"/>
    </row>
    <row r="368" spans="3:7" x14ac:dyDescent="0.2">
      <c r="C368" s="1"/>
      <c r="D368" s="1"/>
      <c r="F368" s="1"/>
    </row>
    <row r="369" spans="3:6" x14ac:dyDescent="0.2">
      <c r="C369" s="1"/>
      <c r="D369" s="1"/>
      <c r="F369" s="1"/>
    </row>
    <row r="370" spans="3:6" x14ac:dyDescent="0.2">
      <c r="C370" s="1"/>
      <c r="D370" s="1"/>
      <c r="F370" s="1"/>
    </row>
    <row r="371" spans="3:6" x14ac:dyDescent="0.2">
      <c r="C371" s="1"/>
      <c r="D371" s="1"/>
      <c r="F371" s="1"/>
    </row>
    <row r="372" spans="3:6" x14ac:dyDescent="0.2">
      <c r="C372" s="1"/>
      <c r="D372" s="1"/>
      <c r="F372" s="1"/>
    </row>
    <row r="373" spans="3:6" x14ac:dyDescent="0.2">
      <c r="C373" s="1"/>
      <c r="D373" s="1"/>
      <c r="F373" s="1"/>
    </row>
    <row r="374" spans="3:6" x14ac:dyDescent="0.2">
      <c r="C374" s="1"/>
      <c r="D374" s="1"/>
      <c r="F374" s="1"/>
    </row>
    <row r="375" spans="3:6" x14ac:dyDescent="0.2">
      <c r="C375" s="1"/>
      <c r="D375" s="50"/>
      <c r="F375" s="1"/>
    </row>
    <row r="376" spans="3:6" x14ac:dyDescent="0.2">
      <c r="C376" s="1"/>
      <c r="D376" s="1"/>
      <c r="F376" s="1"/>
    </row>
    <row r="377" spans="3:6" x14ac:dyDescent="0.2">
      <c r="C377" s="1"/>
      <c r="D377" s="52"/>
      <c r="F377" s="1"/>
    </row>
    <row r="378" spans="3:6" x14ac:dyDescent="0.2">
      <c r="C378" s="1"/>
      <c r="D378" s="50"/>
      <c r="F378" s="1"/>
    </row>
    <row r="379" spans="3:6" x14ac:dyDescent="0.2">
      <c r="C379" s="1"/>
      <c r="D379" s="50"/>
      <c r="F379" s="1"/>
    </row>
    <row r="380" spans="3:6" x14ac:dyDescent="0.2">
      <c r="C380" s="1"/>
      <c r="D380" s="50"/>
      <c r="F380" s="1"/>
    </row>
    <row r="381" spans="3:6" x14ac:dyDescent="0.2">
      <c r="C381" s="1"/>
      <c r="D381" s="1"/>
      <c r="F381" s="1"/>
    </row>
    <row r="382" spans="3:6" x14ac:dyDescent="0.2">
      <c r="C382" s="1"/>
      <c r="D382" s="52"/>
      <c r="F382" s="1"/>
    </row>
    <row r="383" spans="3:6" x14ac:dyDescent="0.2">
      <c r="C383" s="1"/>
      <c r="D383" s="56"/>
      <c r="F383" s="1"/>
    </row>
    <row r="384" spans="3:6" x14ac:dyDescent="0.2">
      <c r="C384" s="1"/>
      <c r="D384" s="7"/>
      <c r="F384" s="1"/>
    </row>
    <row r="385" spans="3:6" x14ac:dyDescent="0.2">
      <c r="C385" s="1"/>
      <c r="D385" s="7"/>
      <c r="F385" s="1"/>
    </row>
    <row r="386" spans="3:6" x14ac:dyDescent="0.2">
      <c r="C386" s="1"/>
      <c r="D386" s="7"/>
      <c r="F386" s="1"/>
    </row>
    <row r="387" spans="3:6" x14ac:dyDescent="0.2">
      <c r="C387" s="1"/>
      <c r="D387" s="7"/>
      <c r="F387" s="1"/>
    </row>
    <row r="388" spans="3:6" x14ac:dyDescent="0.2">
      <c r="C388" s="1"/>
      <c r="D388" s="7"/>
      <c r="F388" s="1"/>
    </row>
    <row r="389" spans="3:6" x14ac:dyDescent="0.2">
      <c r="C389" s="1"/>
      <c r="D389" s="52"/>
      <c r="F389" s="1"/>
    </row>
    <row r="390" spans="3:6" x14ac:dyDescent="0.2">
      <c r="C390" s="1"/>
      <c r="D390" s="7"/>
      <c r="F390" s="1"/>
    </row>
    <row r="391" spans="3:6" x14ac:dyDescent="0.2">
      <c r="C391" s="1"/>
      <c r="D391" s="7"/>
      <c r="F391" s="1"/>
    </row>
    <row r="392" spans="3:6" x14ac:dyDescent="0.2">
      <c r="C392" s="1"/>
      <c r="F392" s="1"/>
    </row>
    <row r="393" spans="3:6" x14ac:dyDescent="0.2">
      <c r="C393" s="1"/>
      <c r="D393" s="1"/>
      <c r="F393" s="1"/>
    </row>
    <row r="394" spans="3:6" x14ac:dyDescent="0.2">
      <c r="C394" s="1"/>
      <c r="D394" s="1"/>
      <c r="F394" s="1"/>
    </row>
    <row r="395" spans="3:6" x14ac:dyDescent="0.2">
      <c r="C395" s="1"/>
      <c r="D395" s="1"/>
      <c r="F395" s="1"/>
    </row>
    <row r="396" spans="3:6" x14ac:dyDescent="0.2">
      <c r="C396" s="1"/>
      <c r="D396" s="1"/>
      <c r="F396" s="1"/>
    </row>
    <row r="397" spans="3:6" x14ac:dyDescent="0.2">
      <c r="C397" s="1"/>
      <c r="D397" s="50"/>
      <c r="F397" s="1"/>
    </row>
    <row r="398" spans="3:6" x14ac:dyDescent="0.2">
      <c r="C398" s="1"/>
      <c r="F398" s="1"/>
    </row>
    <row r="399" spans="3:6" x14ac:dyDescent="0.2">
      <c r="C399" s="1"/>
      <c r="D399" s="50"/>
      <c r="F399" s="1"/>
    </row>
    <row r="400" spans="3:6" x14ac:dyDescent="0.2">
      <c r="C400" s="1"/>
      <c r="D400" s="50"/>
      <c r="F400" s="1"/>
    </row>
    <row r="401" spans="3:6" x14ac:dyDescent="0.2">
      <c r="C401" s="1"/>
      <c r="D401" s="50"/>
      <c r="F401" s="1"/>
    </row>
    <row r="402" spans="3:6" x14ac:dyDescent="0.2">
      <c r="C402" s="1"/>
      <c r="D402" s="50"/>
      <c r="F402" s="1"/>
    </row>
    <row r="403" spans="3:6" x14ac:dyDescent="0.2">
      <c r="C403" s="1"/>
      <c r="D403" s="50"/>
      <c r="F403" s="1"/>
    </row>
    <row r="404" spans="3:6" x14ac:dyDescent="0.2">
      <c r="C404" s="1"/>
      <c r="F404" s="1"/>
    </row>
    <row r="405" spans="3:6" x14ac:dyDescent="0.2">
      <c r="C405" s="1"/>
      <c r="D405" s="50"/>
      <c r="F405" s="1"/>
    </row>
    <row r="406" spans="3:6" x14ac:dyDescent="0.2">
      <c r="C406" s="1"/>
      <c r="F406" s="1"/>
    </row>
    <row r="407" spans="3:6" x14ac:dyDescent="0.2">
      <c r="C407" s="1"/>
      <c r="F407" s="1"/>
    </row>
    <row r="408" spans="3:6" x14ac:dyDescent="0.2">
      <c r="C408" s="1"/>
      <c r="F408" s="1"/>
    </row>
    <row r="409" spans="3:6" x14ac:dyDescent="0.2">
      <c r="C409" s="1"/>
      <c r="F409" s="1"/>
    </row>
    <row r="410" spans="3:6" x14ac:dyDescent="0.2">
      <c r="C410" s="1"/>
      <c r="F410" s="1"/>
    </row>
    <row r="411" spans="3:6" x14ac:dyDescent="0.2">
      <c r="C411" s="1"/>
      <c r="F411" s="1"/>
    </row>
    <row r="412" spans="3:6" x14ac:dyDescent="0.2">
      <c r="C412" s="1"/>
      <c r="F412" s="1"/>
    </row>
    <row r="413" spans="3:6" x14ac:dyDescent="0.2">
      <c r="C413" s="1"/>
      <c r="F413" s="1"/>
    </row>
    <row r="414" spans="3:6" x14ac:dyDescent="0.2">
      <c r="C414" s="1"/>
      <c r="F414" s="1"/>
    </row>
    <row r="415" spans="3:6" x14ac:dyDescent="0.2">
      <c r="C415" s="1"/>
      <c r="F415" s="1"/>
    </row>
    <row r="416" spans="3:6" x14ac:dyDescent="0.2">
      <c r="C416" s="1"/>
      <c r="F416" s="1"/>
    </row>
    <row r="417" spans="3:6" x14ac:dyDescent="0.2">
      <c r="C417" s="1"/>
      <c r="F417" s="1"/>
    </row>
    <row r="418" spans="3:6" x14ac:dyDescent="0.2">
      <c r="C418" s="1"/>
      <c r="F418" s="1"/>
    </row>
    <row r="419" spans="3:6" x14ac:dyDescent="0.2">
      <c r="C419" s="1"/>
      <c r="F419" s="1"/>
    </row>
    <row r="420" spans="3:6" x14ac:dyDescent="0.2">
      <c r="C420" s="1"/>
      <c r="F420" s="1"/>
    </row>
    <row r="421" spans="3:6" x14ac:dyDescent="0.2">
      <c r="C421" s="1"/>
      <c r="F421" s="1"/>
    </row>
    <row r="422" spans="3:6" x14ac:dyDescent="0.2">
      <c r="C422" s="1"/>
      <c r="F422" s="1"/>
    </row>
    <row r="423" spans="3:6" x14ac:dyDescent="0.2">
      <c r="C423" s="1"/>
      <c r="F423" s="1"/>
    </row>
    <row r="424" spans="3:6" x14ac:dyDescent="0.2">
      <c r="C424" s="1"/>
      <c r="F424" s="1"/>
    </row>
    <row r="425" spans="3:6" x14ac:dyDescent="0.2">
      <c r="C425" s="1"/>
      <c r="F425" s="1"/>
    </row>
    <row r="426" spans="3:6" x14ac:dyDescent="0.2">
      <c r="C426" s="1"/>
      <c r="F426" s="1"/>
    </row>
    <row r="427" spans="3:6" x14ac:dyDescent="0.2">
      <c r="C427" s="1"/>
      <c r="F427" s="1"/>
    </row>
    <row r="428" spans="3:6" x14ac:dyDescent="0.2">
      <c r="C428" s="1"/>
      <c r="D428" s="1"/>
      <c r="F428" s="1"/>
    </row>
    <row r="429" spans="3:6" x14ac:dyDescent="0.2">
      <c r="C429" s="1"/>
      <c r="F429" s="1"/>
    </row>
    <row r="430" spans="3:6" x14ac:dyDescent="0.2">
      <c r="C430" s="1"/>
      <c r="F430" s="1"/>
    </row>
    <row r="431" spans="3:6" x14ac:dyDescent="0.2">
      <c r="C431" s="1"/>
      <c r="F431" s="1"/>
    </row>
    <row r="432" spans="3:6" x14ac:dyDescent="0.2">
      <c r="C432" s="1"/>
      <c r="F432" s="1"/>
    </row>
    <row r="433" spans="3:6" x14ac:dyDescent="0.2">
      <c r="C433" s="1"/>
      <c r="F433" s="1"/>
    </row>
    <row r="434" spans="3:6" x14ac:dyDescent="0.2">
      <c r="C434" s="1"/>
      <c r="F434" s="1"/>
    </row>
    <row r="435" spans="3:6" x14ac:dyDescent="0.2">
      <c r="C435" s="1"/>
      <c r="F435" s="1"/>
    </row>
    <row r="436" spans="3:6" x14ac:dyDescent="0.2">
      <c r="C436" s="1"/>
      <c r="F436" s="1"/>
    </row>
    <row r="437" spans="3:6" x14ac:dyDescent="0.2">
      <c r="C437" s="1"/>
      <c r="F437" s="1"/>
    </row>
    <row r="438" spans="3:6" x14ac:dyDescent="0.2">
      <c r="C438" s="1"/>
      <c r="F438" s="1"/>
    </row>
    <row r="439" spans="3:6" x14ac:dyDescent="0.2">
      <c r="C439" s="1"/>
      <c r="F439" s="1"/>
    </row>
    <row r="440" spans="3:6" x14ac:dyDescent="0.2">
      <c r="C440" s="1"/>
      <c r="F440" s="1"/>
    </row>
    <row r="441" spans="3:6" x14ac:dyDescent="0.2">
      <c r="C441" s="1"/>
      <c r="F441" s="1"/>
    </row>
    <row r="442" spans="3:6" x14ac:dyDescent="0.2">
      <c r="C442" s="1"/>
      <c r="F442" s="1"/>
    </row>
    <row r="443" spans="3:6" x14ac:dyDescent="0.2">
      <c r="C443" s="1"/>
      <c r="F443" s="1"/>
    </row>
    <row r="444" spans="3:6" x14ac:dyDescent="0.2">
      <c r="C444" s="1"/>
      <c r="F444" s="1"/>
    </row>
    <row r="445" spans="3:6" x14ac:dyDescent="0.2">
      <c r="C445" s="1"/>
      <c r="F445" s="1"/>
    </row>
    <row r="446" spans="3:6" x14ac:dyDescent="0.2">
      <c r="C446" s="1"/>
      <c r="F446" s="1"/>
    </row>
    <row r="447" spans="3:6" x14ac:dyDescent="0.2">
      <c r="C447" s="1"/>
      <c r="F447" s="1"/>
    </row>
    <row r="448" spans="3:6" x14ac:dyDescent="0.2">
      <c r="C448" s="1"/>
      <c r="F448" s="1"/>
    </row>
    <row r="449" spans="3:6" x14ac:dyDescent="0.2">
      <c r="C449" s="1"/>
      <c r="F449" s="1"/>
    </row>
    <row r="450" spans="3:6" x14ac:dyDescent="0.2">
      <c r="C450" s="1"/>
      <c r="F450" s="1"/>
    </row>
    <row r="451" spans="3:6" x14ac:dyDescent="0.2">
      <c r="C451" s="1"/>
      <c r="F451" s="1"/>
    </row>
    <row r="452" spans="3:6" x14ac:dyDescent="0.2">
      <c r="C452" s="1"/>
      <c r="F452" s="1"/>
    </row>
    <row r="453" spans="3:6" x14ac:dyDescent="0.2">
      <c r="C453" s="1"/>
      <c r="F453" s="1"/>
    </row>
    <row r="454" spans="3:6" x14ac:dyDescent="0.2">
      <c r="C454" s="1"/>
      <c r="F454" s="1"/>
    </row>
    <row r="455" spans="3:6" x14ac:dyDescent="0.2">
      <c r="C455" s="1"/>
      <c r="F455" s="1"/>
    </row>
    <row r="456" spans="3:6" x14ac:dyDescent="0.2">
      <c r="C456" s="1"/>
      <c r="F456" s="1"/>
    </row>
    <row r="457" spans="3:6" x14ac:dyDescent="0.2">
      <c r="C457" s="1"/>
    </row>
    <row r="458" spans="3:6" x14ac:dyDescent="0.2">
      <c r="C458" s="1"/>
    </row>
    <row r="459" spans="3:6" x14ac:dyDescent="0.2">
      <c r="C459" s="1"/>
    </row>
    <row r="460" spans="3:6" x14ac:dyDescent="0.2">
      <c r="C460" s="1"/>
    </row>
    <row r="461" spans="3:6" x14ac:dyDescent="0.2">
      <c r="C461" s="1"/>
    </row>
    <row r="462" spans="3:6" x14ac:dyDescent="0.2">
      <c r="C462" s="1"/>
    </row>
    <row r="463" spans="3:6" x14ac:dyDescent="0.2">
      <c r="C463" s="1"/>
    </row>
    <row r="464" spans="3:6" x14ac:dyDescent="0.2">
      <c r="C464" s="1"/>
    </row>
    <row r="465" spans="3:3" x14ac:dyDescent="0.2">
      <c r="C465" s="1"/>
    </row>
    <row r="466" spans="3:3" x14ac:dyDescent="0.2">
      <c r="C466" s="1"/>
    </row>
    <row r="467" spans="3:3" x14ac:dyDescent="0.2">
      <c r="C467" s="1"/>
    </row>
    <row r="468" spans="3:3" x14ac:dyDescent="0.2">
      <c r="C468" s="1"/>
    </row>
    <row r="469" spans="3:3" x14ac:dyDescent="0.2">
      <c r="C469" s="1"/>
    </row>
    <row r="470" spans="3:3" x14ac:dyDescent="0.2">
      <c r="C470" s="1"/>
    </row>
    <row r="471" spans="3:3" x14ac:dyDescent="0.2">
      <c r="C471" s="1"/>
    </row>
    <row r="472" spans="3:3" x14ac:dyDescent="0.2">
      <c r="C472" s="1"/>
    </row>
    <row r="473" spans="3:3" x14ac:dyDescent="0.2">
      <c r="C473" s="1"/>
    </row>
    <row r="474" spans="3:3" x14ac:dyDescent="0.2">
      <c r="C474" s="1"/>
    </row>
    <row r="475" spans="3:3" x14ac:dyDescent="0.2">
      <c r="C475" s="1"/>
    </row>
    <row r="476" spans="3:3" x14ac:dyDescent="0.2">
      <c r="C476" s="1"/>
    </row>
    <row r="477" spans="3:3" x14ac:dyDescent="0.2">
      <c r="C477" s="1"/>
    </row>
    <row r="478" spans="3:3" x14ac:dyDescent="0.2">
      <c r="C478" s="1"/>
    </row>
    <row r="479" spans="3:3" x14ac:dyDescent="0.2">
      <c r="C479" s="1"/>
    </row>
    <row r="480" spans="3:3" x14ac:dyDescent="0.2">
      <c r="C480" s="1"/>
    </row>
    <row r="481" spans="3:3" x14ac:dyDescent="0.2">
      <c r="C481" s="1"/>
    </row>
    <row r="482" spans="3:3" x14ac:dyDescent="0.2">
      <c r="C482" s="1"/>
    </row>
    <row r="483" spans="3:3" x14ac:dyDescent="0.2">
      <c r="C483" s="1"/>
    </row>
    <row r="484" spans="3:3" x14ac:dyDescent="0.2">
      <c r="C484" s="1"/>
    </row>
    <row r="485" spans="3:3" x14ac:dyDescent="0.2">
      <c r="C485" s="1"/>
    </row>
    <row r="486" spans="3:3" x14ac:dyDescent="0.2">
      <c r="C486" s="1"/>
    </row>
    <row r="487" spans="3:3" x14ac:dyDescent="0.2">
      <c r="C487" s="1"/>
    </row>
    <row r="488" spans="3:3" x14ac:dyDescent="0.2">
      <c r="C488" s="1"/>
    </row>
    <row r="489" spans="3:3" x14ac:dyDescent="0.2">
      <c r="C489" s="1"/>
    </row>
    <row r="490" spans="3:3" x14ac:dyDescent="0.2">
      <c r="C490" s="1"/>
    </row>
    <row r="491" spans="3:3" x14ac:dyDescent="0.2">
      <c r="C491" s="1"/>
    </row>
    <row r="492" spans="3:3" x14ac:dyDescent="0.2">
      <c r="C492" s="1"/>
    </row>
    <row r="493" spans="3:3" x14ac:dyDescent="0.2">
      <c r="C493" s="1"/>
    </row>
    <row r="494" spans="3:3" x14ac:dyDescent="0.2">
      <c r="C494" s="1"/>
    </row>
    <row r="495" spans="3:3" x14ac:dyDescent="0.2">
      <c r="C495" s="1"/>
    </row>
    <row r="496" spans="3:3" x14ac:dyDescent="0.2">
      <c r="C496" s="1"/>
    </row>
    <row r="497" spans="3:3" x14ac:dyDescent="0.2">
      <c r="C497" s="1"/>
    </row>
    <row r="498" spans="3:3" x14ac:dyDescent="0.2">
      <c r="C498" s="1"/>
    </row>
    <row r="499" spans="3:3" x14ac:dyDescent="0.2">
      <c r="C499" s="1"/>
    </row>
    <row r="500" spans="3:3" x14ac:dyDescent="0.2">
      <c r="C500" s="1"/>
    </row>
    <row r="501" spans="3:3" x14ac:dyDescent="0.2">
      <c r="C501" s="1"/>
    </row>
    <row r="502" spans="3:3" x14ac:dyDescent="0.2">
      <c r="C502" s="1"/>
    </row>
    <row r="503" spans="3:3" x14ac:dyDescent="0.2">
      <c r="C503" s="1"/>
    </row>
    <row r="504" spans="3:3" x14ac:dyDescent="0.2">
      <c r="C504" s="1"/>
    </row>
    <row r="505" spans="3:3" x14ac:dyDescent="0.2">
      <c r="C505" s="1"/>
    </row>
    <row r="506" spans="3:3" x14ac:dyDescent="0.2">
      <c r="C506" s="1"/>
    </row>
    <row r="507" spans="3:3" x14ac:dyDescent="0.2">
      <c r="C507" s="1"/>
    </row>
    <row r="508" spans="3:3" x14ac:dyDescent="0.2">
      <c r="C508" s="1"/>
    </row>
    <row r="509" spans="3:3" x14ac:dyDescent="0.2">
      <c r="C509" s="1"/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  <row r="535" spans="3:3" x14ac:dyDescent="0.2">
      <c r="C535" s="1"/>
    </row>
    <row r="536" spans="3:3" x14ac:dyDescent="0.2">
      <c r="C536" s="1"/>
    </row>
  </sheetData>
  <autoFilter ref="A1:G452" xr:uid="{00000000-0009-0000-0000-000002000000}">
    <sortState xmlns:xlrd2="http://schemas.microsoft.com/office/spreadsheetml/2017/richdata2" ref="A2:AE452">
      <sortCondition ref="D1:D452"/>
    </sortState>
  </autoFilter>
  <sortState xmlns:xlrd2="http://schemas.microsoft.com/office/spreadsheetml/2017/richdata2" ref="D2:D536">
    <sortCondition ref="D2:D536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8"/>
  <dimension ref="A1:E1337"/>
  <sheetViews>
    <sheetView zoomScaleNormal="100" workbookViewId="0">
      <selection activeCell="F18" sqref="F18"/>
    </sheetView>
  </sheetViews>
  <sheetFormatPr defaultRowHeight="11.25" x14ac:dyDescent="0.2"/>
  <cols>
    <col min="1" max="1" width="9.1640625" style="13" customWidth="1"/>
    <col min="2" max="2" width="86.83203125" style="12" customWidth="1"/>
    <col min="3" max="3" width="34.33203125" style="3" customWidth="1"/>
    <col min="4" max="4" width="17.1640625" style="2" customWidth="1"/>
    <col min="5" max="5" width="10" customWidth="1"/>
  </cols>
  <sheetData>
    <row r="1" spans="1:4" s="1" customFormat="1" x14ac:dyDescent="0.2">
      <c r="A1" s="16"/>
      <c r="B1" s="37" t="s">
        <v>29</v>
      </c>
      <c r="C1" s="57" t="s">
        <v>31</v>
      </c>
      <c r="D1" s="4" t="s">
        <v>32</v>
      </c>
    </row>
    <row r="2" spans="1:4" x14ac:dyDescent="0.2">
      <c r="A2" s="14"/>
      <c r="B2" s="38" t="s">
        <v>18</v>
      </c>
      <c r="C2" s="3" t="s">
        <v>15</v>
      </c>
      <c r="D2" s="68">
        <f>VLOOKUP(B2,price!$A:$B,2,0)</f>
        <v>1500</v>
      </c>
    </row>
    <row r="3" spans="1:4" x14ac:dyDescent="0.2">
      <c r="A3" s="14"/>
      <c r="B3" s="38" t="s">
        <v>19</v>
      </c>
      <c r="C3" s="3" t="s">
        <v>15</v>
      </c>
      <c r="D3" s="68">
        <f>VLOOKUP(B3,price!$A:$B,2,0)</f>
        <v>1800</v>
      </c>
    </row>
    <row r="4" spans="1:4" x14ac:dyDescent="0.2">
      <c r="A4" s="14"/>
      <c r="B4" s="38" t="s">
        <v>20</v>
      </c>
      <c r="C4" s="3" t="s">
        <v>15</v>
      </c>
      <c r="D4" s="68">
        <f>VLOOKUP(B4,price!$A:$B,2,0)</f>
        <v>2100</v>
      </c>
    </row>
    <row r="5" spans="1:4" x14ac:dyDescent="0.2">
      <c r="A5" s="14"/>
      <c r="B5" s="38" t="s">
        <v>21</v>
      </c>
      <c r="C5" s="3" t="s">
        <v>15</v>
      </c>
      <c r="D5" s="68">
        <f>VLOOKUP(B5,price!$A:$B,2,0)</f>
        <v>2400</v>
      </c>
    </row>
    <row r="6" spans="1:4" x14ac:dyDescent="0.2">
      <c r="A6" s="14"/>
      <c r="B6" s="38" t="s">
        <v>22</v>
      </c>
      <c r="C6" s="3" t="s">
        <v>15</v>
      </c>
      <c r="D6" s="68">
        <f>VLOOKUP(B6,price!$A:$B,2,0)</f>
        <v>2700</v>
      </c>
    </row>
    <row r="7" spans="1:4" x14ac:dyDescent="0.2">
      <c r="A7" s="14"/>
      <c r="B7" s="38" t="s">
        <v>23</v>
      </c>
      <c r="C7" s="3" t="s">
        <v>15</v>
      </c>
      <c r="D7" s="68">
        <f>VLOOKUP(B7,price!$A:$B,2,0)</f>
        <v>3000</v>
      </c>
    </row>
    <row r="8" spans="1:4" x14ac:dyDescent="0.2">
      <c r="A8" s="14"/>
      <c r="B8" s="38" t="s">
        <v>28</v>
      </c>
      <c r="C8" s="3" t="s">
        <v>17</v>
      </c>
      <c r="D8" s="68">
        <f>VLOOKUP(B8,price!$A:$B,2,0)</f>
        <v>3300</v>
      </c>
    </row>
    <row r="9" spans="1:4" x14ac:dyDescent="0.2">
      <c r="A9" s="14"/>
      <c r="B9" s="38" t="s">
        <v>27</v>
      </c>
      <c r="C9" s="3" t="s">
        <v>17</v>
      </c>
      <c r="D9" s="68">
        <f>VLOOKUP(B9,price!$A:$B,2,0)</f>
        <v>3600</v>
      </c>
    </row>
    <row r="10" spans="1:4" x14ac:dyDescent="0.2">
      <c r="A10" s="14"/>
      <c r="B10" s="38" t="s">
        <v>25</v>
      </c>
      <c r="C10" s="3" t="s">
        <v>17</v>
      </c>
      <c r="D10" s="68">
        <f>VLOOKUP(B10,price!$A:$B,2,0)</f>
        <v>3900</v>
      </c>
    </row>
    <row r="11" spans="1:4" x14ac:dyDescent="0.2">
      <c r="A11" s="14"/>
      <c r="B11" s="38" t="s">
        <v>26</v>
      </c>
      <c r="C11" s="3" t="s">
        <v>17</v>
      </c>
      <c r="D11" s="68">
        <f>VLOOKUP(B11,price!$A:$B,2,0)</f>
        <v>7000</v>
      </c>
    </row>
    <row r="12" spans="1:4" x14ac:dyDescent="0.2">
      <c r="A12" s="14"/>
      <c r="B12" s="38"/>
      <c r="D12" s="5" t="e">
        <f>VLOOKUP(B12,price!A:B,4,0)</f>
        <v>#N/A</v>
      </c>
    </row>
    <row r="13" spans="1:4" x14ac:dyDescent="0.2">
      <c r="A13" s="14"/>
      <c r="B13" s="38"/>
      <c r="D13" s="5" t="e">
        <f>VLOOKUP(B13,price!A:B,4,0)</f>
        <v>#N/A</v>
      </c>
    </row>
    <row r="14" spans="1:4" x14ac:dyDescent="0.2">
      <c r="A14" s="14"/>
      <c r="B14" s="38"/>
      <c r="D14" s="5" t="e">
        <f>VLOOKUP(B14,price!A:B,4,0)</f>
        <v>#N/A</v>
      </c>
    </row>
    <row r="15" spans="1:4" x14ac:dyDescent="0.2">
      <c r="A15" s="14"/>
      <c r="B15" s="38"/>
      <c r="D15" s="5" t="e">
        <f>VLOOKUP(B15,price!A:B,4,0)</f>
        <v>#N/A</v>
      </c>
    </row>
    <row r="16" spans="1:4" x14ac:dyDescent="0.2">
      <c r="A16" s="14"/>
      <c r="B16" s="38"/>
      <c r="D16" s="5" t="e">
        <f>VLOOKUP(B16,price!A:B,4,0)</f>
        <v>#N/A</v>
      </c>
    </row>
    <row r="17" spans="1:4" x14ac:dyDescent="0.2">
      <c r="A17" s="14"/>
      <c r="B17" s="38"/>
      <c r="D17" s="5" t="e">
        <f>VLOOKUP(B17,price!A:B,4,0)</f>
        <v>#N/A</v>
      </c>
    </row>
    <row r="18" spans="1:4" x14ac:dyDescent="0.2">
      <c r="A18" s="14"/>
      <c r="B18" s="38"/>
      <c r="D18" s="5" t="e">
        <f>VLOOKUP(B18,price!A:B,4,0)</f>
        <v>#N/A</v>
      </c>
    </row>
    <row r="19" spans="1:4" x14ac:dyDescent="0.2">
      <c r="A19" s="14"/>
      <c r="B19" s="38"/>
      <c r="D19" s="5" t="e">
        <f>VLOOKUP(B19,price!A:B,4,0)</f>
        <v>#N/A</v>
      </c>
    </row>
    <row r="20" spans="1:4" x14ac:dyDescent="0.2">
      <c r="A20" s="14"/>
      <c r="B20" s="38"/>
      <c r="D20" s="5" t="e">
        <f>VLOOKUP(B20,price!A:B,4,0)</f>
        <v>#N/A</v>
      </c>
    </row>
    <row r="21" spans="1:4" x14ac:dyDescent="0.2">
      <c r="A21" s="14"/>
      <c r="B21" s="38"/>
      <c r="D21" s="5" t="e">
        <f>VLOOKUP(B21,price!A:B,4,0)</f>
        <v>#N/A</v>
      </c>
    </row>
    <row r="22" spans="1:4" x14ac:dyDescent="0.2">
      <c r="A22" s="14"/>
      <c r="B22" s="38"/>
      <c r="D22" s="5" t="e">
        <f>VLOOKUP(B22,price!A:B,4,0)</f>
        <v>#N/A</v>
      </c>
    </row>
    <row r="23" spans="1:4" x14ac:dyDescent="0.2">
      <c r="A23" s="14"/>
      <c r="B23" s="38"/>
      <c r="D23" s="5" t="e">
        <f>VLOOKUP(B23,price!A:B,4,0)</f>
        <v>#N/A</v>
      </c>
    </row>
    <row r="24" spans="1:4" x14ac:dyDescent="0.2">
      <c r="A24" s="14"/>
      <c r="B24" s="38"/>
      <c r="D24" s="5" t="e">
        <f>VLOOKUP(B24,price!A:B,4,0)</f>
        <v>#N/A</v>
      </c>
    </row>
    <row r="25" spans="1:4" x14ac:dyDescent="0.2">
      <c r="A25" s="14"/>
      <c r="B25" s="38"/>
      <c r="D25" s="5" t="e">
        <f>VLOOKUP(B25,price!A:B,4,0)</f>
        <v>#N/A</v>
      </c>
    </row>
    <row r="26" spans="1:4" x14ac:dyDescent="0.2">
      <c r="A26" s="14"/>
      <c r="B26" s="38"/>
      <c r="D26" s="5" t="e">
        <f>VLOOKUP(B26,price!A:B,4,0)</f>
        <v>#N/A</v>
      </c>
    </row>
    <row r="27" spans="1:4" x14ac:dyDescent="0.2">
      <c r="A27" s="14"/>
      <c r="B27" s="38"/>
      <c r="D27" s="5" t="e">
        <f>VLOOKUP(B27,price!A:B,4,0)</f>
        <v>#N/A</v>
      </c>
    </row>
    <row r="28" spans="1:4" x14ac:dyDescent="0.2">
      <c r="A28" s="14"/>
      <c r="B28" s="38"/>
      <c r="D28" s="5" t="e">
        <f>VLOOKUP(B28,price!A:B,4,0)</f>
        <v>#N/A</v>
      </c>
    </row>
    <row r="29" spans="1:4" x14ac:dyDescent="0.2">
      <c r="A29" s="14"/>
      <c r="B29" s="38"/>
      <c r="D29" s="5" t="e">
        <f>VLOOKUP(B29,price!A:B,4,0)</f>
        <v>#N/A</v>
      </c>
    </row>
    <row r="30" spans="1:4" x14ac:dyDescent="0.2">
      <c r="A30" s="14"/>
      <c r="B30" s="38"/>
      <c r="D30" s="5" t="e">
        <f>VLOOKUP(B30,price!A:B,4,0)</f>
        <v>#N/A</v>
      </c>
    </row>
    <row r="31" spans="1:4" x14ac:dyDescent="0.2">
      <c r="A31" s="14"/>
      <c r="B31" s="38"/>
      <c r="D31" s="5" t="e">
        <f>VLOOKUP(B31,price!A:B,4,0)</f>
        <v>#N/A</v>
      </c>
    </row>
    <row r="32" spans="1:4" x14ac:dyDescent="0.2">
      <c r="A32" s="14"/>
      <c r="B32" s="38"/>
      <c r="D32" s="5" t="e">
        <f>VLOOKUP(B32,price!A:B,4,0)</f>
        <v>#N/A</v>
      </c>
    </row>
    <row r="33" spans="1:4" x14ac:dyDescent="0.2">
      <c r="A33" s="14"/>
      <c r="B33" s="38"/>
      <c r="D33" s="5" t="e">
        <f>VLOOKUP(B33,price!A:B,4,0)</f>
        <v>#N/A</v>
      </c>
    </row>
    <row r="34" spans="1:4" x14ac:dyDescent="0.2">
      <c r="A34" s="14"/>
      <c r="B34" s="38"/>
      <c r="D34" s="5" t="e">
        <f>VLOOKUP(B34,price!A:B,4,0)</f>
        <v>#N/A</v>
      </c>
    </row>
    <row r="35" spans="1:4" x14ac:dyDescent="0.2">
      <c r="A35" s="14"/>
      <c r="B35" s="38"/>
      <c r="D35" s="5" t="e">
        <f>VLOOKUP(B35,price!A:B,4,0)</f>
        <v>#N/A</v>
      </c>
    </row>
    <row r="36" spans="1:4" x14ac:dyDescent="0.2">
      <c r="A36" s="14"/>
      <c r="B36" s="38"/>
      <c r="D36" s="5" t="e">
        <f>VLOOKUP(B36,price!A:B,4,0)</f>
        <v>#N/A</v>
      </c>
    </row>
    <row r="37" spans="1:4" x14ac:dyDescent="0.2">
      <c r="A37" s="14"/>
      <c r="B37" s="38"/>
      <c r="D37" s="5" t="e">
        <f>VLOOKUP(B37,price!A:B,4,0)</f>
        <v>#N/A</v>
      </c>
    </row>
    <row r="38" spans="1:4" x14ac:dyDescent="0.2">
      <c r="A38" s="14"/>
      <c r="B38" s="38"/>
      <c r="D38" s="5" t="e">
        <f>VLOOKUP(B38,price!A:B,4,0)</f>
        <v>#N/A</v>
      </c>
    </row>
    <row r="39" spans="1:4" x14ac:dyDescent="0.2">
      <c r="A39" s="14"/>
      <c r="B39" s="38"/>
      <c r="D39" s="5" t="e">
        <f>VLOOKUP(B39,price!A:B,4,0)</f>
        <v>#N/A</v>
      </c>
    </row>
    <row r="40" spans="1:4" x14ac:dyDescent="0.2">
      <c r="A40" s="14"/>
      <c r="B40" s="38"/>
      <c r="D40" s="5" t="e">
        <f>VLOOKUP(B40,price!A:B,4,0)</f>
        <v>#N/A</v>
      </c>
    </row>
    <row r="41" spans="1:4" x14ac:dyDescent="0.2">
      <c r="A41" s="14"/>
      <c r="B41" s="38"/>
      <c r="D41" s="5" t="e">
        <f>VLOOKUP(B41,price!A:B,4,0)</f>
        <v>#N/A</v>
      </c>
    </row>
    <row r="42" spans="1:4" x14ac:dyDescent="0.2">
      <c r="A42" s="14"/>
      <c r="B42" s="38"/>
      <c r="D42" s="5" t="e">
        <f>VLOOKUP(B42,price!A:B,4,0)</f>
        <v>#N/A</v>
      </c>
    </row>
    <row r="43" spans="1:4" x14ac:dyDescent="0.2">
      <c r="A43" s="14"/>
      <c r="B43" s="38"/>
      <c r="D43" s="5" t="e">
        <f>VLOOKUP(B43,price!A:B,4,0)</f>
        <v>#N/A</v>
      </c>
    </row>
    <row r="44" spans="1:4" x14ac:dyDescent="0.2">
      <c r="A44" s="14"/>
      <c r="B44" s="38"/>
      <c r="D44" s="5" t="e">
        <f>VLOOKUP(B44,price!A:B,4,0)</f>
        <v>#N/A</v>
      </c>
    </row>
    <row r="45" spans="1:4" x14ac:dyDescent="0.2">
      <c r="A45" s="14"/>
      <c r="B45" s="38"/>
      <c r="D45" s="5" t="e">
        <f>VLOOKUP(B45,price!A:B,4,0)</f>
        <v>#N/A</v>
      </c>
    </row>
    <row r="46" spans="1:4" x14ac:dyDescent="0.2">
      <c r="A46" s="14"/>
      <c r="B46" s="38"/>
      <c r="D46" s="5" t="e">
        <f>VLOOKUP(B46,price!A:B,4,0)</f>
        <v>#N/A</v>
      </c>
    </row>
    <row r="47" spans="1:4" x14ac:dyDescent="0.2">
      <c r="A47" s="14"/>
      <c r="B47" s="38"/>
      <c r="D47" s="5" t="e">
        <f>VLOOKUP(B47,price!A:B,4,0)</f>
        <v>#N/A</v>
      </c>
    </row>
    <row r="48" spans="1:4" x14ac:dyDescent="0.2">
      <c r="A48" s="14"/>
      <c r="B48" s="38"/>
      <c r="D48" s="5" t="e">
        <f>VLOOKUP(B48,price!A:B,4,0)</f>
        <v>#N/A</v>
      </c>
    </row>
    <row r="49" spans="1:4" x14ac:dyDescent="0.2">
      <c r="A49" s="14"/>
      <c r="B49" s="38"/>
      <c r="D49" s="5" t="e">
        <f>VLOOKUP(B49,price!A:B,4,0)</f>
        <v>#N/A</v>
      </c>
    </row>
    <row r="50" spans="1:4" x14ac:dyDescent="0.2">
      <c r="A50" s="14"/>
      <c r="B50" s="38"/>
      <c r="D50" s="5" t="e">
        <f>VLOOKUP(B50,price!A:B,4,0)</f>
        <v>#N/A</v>
      </c>
    </row>
    <row r="51" spans="1:4" x14ac:dyDescent="0.2">
      <c r="A51" s="14"/>
      <c r="B51" s="38"/>
      <c r="D51" s="5" t="e">
        <f>VLOOKUP(B51,price!A:B,4,0)</f>
        <v>#N/A</v>
      </c>
    </row>
    <row r="52" spans="1:4" x14ac:dyDescent="0.2">
      <c r="A52" s="14"/>
      <c r="B52" s="38"/>
      <c r="D52" s="5" t="e">
        <f>VLOOKUP(B52,price!A:B,4,0)</f>
        <v>#N/A</v>
      </c>
    </row>
    <row r="53" spans="1:4" x14ac:dyDescent="0.2">
      <c r="A53" s="14"/>
      <c r="B53" s="38"/>
      <c r="D53" s="5" t="e">
        <f>VLOOKUP(B53,price!A:B,4,0)</f>
        <v>#N/A</v>
      </c>
    </row>
    <row r="54" spans="1:4" x14ac:dyDescent="0.2">
      <c r="A54" s="14"/>
      <c r="B54" s="38"/>
      <c r="D54" s="5" t="e">
        <f>VLOOKUP(B54,price!A:B,4,0)</f>
        <v>#N/A</v>
      </c>
    </row>
    <row r="55" spans="1:4" x14ac:dyDescent="0.2">
      <c r="A55" s="14"/>
      <c r="B55" s="38"/>
      <c r="D55" s="5" t="e">
        <f>VLOOKUP(B55,price!A:B,4,0)</f>
        <v>#N/A</v>
      </c>
    </row>
    <row r="56" spans="1:4" x14ac:dyDescent="0.2">
      <c r="A56" s="14"/>
      <c r="B56" s="38"/>
      <c r="D56" s="5" t="e">
        <f>VLOOKUP(B56,price!A:B,4,0)</f>
        <v>#N/A</v>
      </c>
    </row>
    <row r="57" spans="1:4" x14ac:dyDescent="0.2">
      <c r="A57" s="14"/>
      <c r="B57" s="38"/>
      <c r="D57" s="5" t="e">
        <f>VLOOKUP(B57,price!A:B,4,0)</f>
        <v>#N/A</v>
      </c>
    </row>
    <row r="58" spans="1:4" x14ac:dyDescent="0.2">
      <c r="A58" s="14"/>
      <c r="B58" s="38"/>
      <c r="D58" s="5" t="e">
        <f>VLOOKUP(B58,price!A:B,4,0)</f>
        <v>#N/A</v>
      </c>
    </row>
    <row r="59" spans="1:4" x14ac:dyDescent="0.2">
      <c r="A59" s="14"/>
      <c r="B59" s="38"/>
      <c r="D59" s="5" t="e">
        <f>VLOOKUP(B59,price!A:B,4,0)</f>
        <v>#N/A</v>
      </c>
    </row>
    <row r="60" spans="1:4" x14ac:dyDescent="0.2">
      <c r="A60" s="14"/>
      <c r="B60" s="38"/>
      <c r="D60" s="5" t="e">
        <f>VLOOKUP(B60,price!A:B,4,0)</f>
        <v>#N/A</v>
      </c>
    </row>
    <row r="61" spans="1:4" x14ac:dyDescent="0.2">
      <c r="A61" s="14"/>
      <c r="B61" s="38"/>
      <c r="D61" s="5" t="e">
        <f>VLOOKUP(B61,price!A:B,4,0)</f>
        <v>#N/A</v>
      </c>
    </row>
    <row r="62" spans="1:4" x14ac:dyDescent="0.2">
      <c r="A62" s="14"/>
      <c r="B62" s="38"/>
      <c r="D62" s="5" t="e">
        <f>VLOOKUP(B62,price!A:B,4,0)</f>
        <v>#N/A</v>
      </c>
    </row>
    <row r="63" spans="1:4" x14ac:dyDescent="0.2">
      <c r="A63" s="14"/>
      <c r="B63" s="38"/>
      <c r="D63" s="5" t="e">
        <f>VLOOKUP(B63,price!A:B,4,0)</f>
        <v>#N/A</v>
      </c>
    </row>
    <row r="64" spans="1:4" x14ac:dyDescent="0.2">
      <c r="A64" s="14"/>
      <c r="B64" s="38"/>
      <c r="D64" s="5" t="e">
        <f>VLOOKUP(B64,price!A:B,4,0)</f>
        <v>#N/A</v>
      </c>
    </row>
    <row r="65" spans="1:4" x14ac:dyDescent="0.2">
      <c r="A65" s="14"/>
      <c r="B65" s="38"/>
      <c r="D65" s="5" t="e">
        <f>VLOOKUP(B65,price!A:B,4,0)</f>
        <v>#N/A</v>
      </c>
    </row>
    <row r="66" spans="1:4" x14ac:dyDescent="0.2">
      <c r="A66" s="14"/>
      <c r="B66" s="38"/>
      <c r="D66" s="5" t="e">
        <f>VLOOKUP(B66,price!A:B,4,0)</f>
        <v>#N/A</v>
      </c>
    </row>
    <row r="67" spans="1:4" x14ac:dyDescent="0.2">
      <c r="A67" s="14"/>
      <c r="B67" s="38"/>
      <c r="D67" s="5" t="e">
        <f>VLOOKUP(B67,price!A:B,4,0)</f>
        <v>#N/A</v>
      </c>
    </row>
    <row r="68" spans="1:4" x14ac:dyDescent="0.2">
      <c r="A68" s="14"/>
      <c r="B68" s="38"/>
      <c r="D68" s="5" t="e">
        <f>VLOOKUP(B68,price!A:B,4,0)</f>
        <v>#N/A</v>
      </c>
    </row>
    <row r="69" spans="1:4" x14ac:dyDescent="0.2">
      <c r="A69" s="14"/>
      <c r="B69" s="38"/>
      <c r="D69" s="5" t="e">
        <f>VLOOKUP(B69,price!A:B,4,0)</f>
        <v>#N/A</v>
      </c>
    </row>
    <row r="70" spans="1:4" x14ac:dyDescent="0.2">
      <c r="A70" s="14"/>
      <c r="B70" s="38"/>
      <c r="D70" s="5" t="e">
        <f>VLOOKUP(B70,price!A:B,4,0)</f>
        <v>#N/A</v>
      </c>
    </row>
    <row r="71" spans="1:4" x14ac:dyDescent="0.2">
      <c r="A71" s="14"/>
      <c r="B71" s="38"/>
      <c r="D71" s="5" t="e">
        <f>VLOOKUP(B71,price!A:B,4,0)</f>
        <v>#N/A</v>
      </c>
    </row>
    <row r="72" spans="1:4" x14ac:dyDescent="0.2">
      <c r="A72" s="14"/>
      <c r="B72" s="38"/>
      <c r="D72" s="5" t="e">
        <f>VLOOKUP(B72,price!A:B,4,0)</f>
        <v>#N/A</v>
      </c>
    </row>
    <row r="73" spans="1:4" x14ac:dyDescent="0.2">
      <c r="A73" s="14"/>
      <c r="B73" s="38"/>
      <c r="D73" s="5" t="e">
        <f>VLOOKUP(B73,price!A:B,4,0)</f>
        <v>#N/A</v>
      </c>
    </row>
    <row r="74" spans="1:4" x14ac:dyDescent="0.2">
      <c r="A74" s="14"/>
      <c r="B74" s="38"/>
      <c r="D74" s="5" t="e">
        <f>VLOOKUP(B74,price!A:B,4,0)</f>
        <v>#N/A</v>
      </c>
    </row>
    <row r="75" spans="1:4" x14ac:dyDescent="0.2">
      <c r="A75" s="14"/>
      <c r="B75" s="38"/>
      <c r="D75" s="5" t="e">
        <f>VLOOKUP(B75,price!A:B,4,0)</f>
        <v>#N/A</v>
      </c>
    </row>
    <row r="76" spans="1:4" x14ac:dyDescent="0.2">
      <c r="A76" s="14"/>
      <c r="B76" s="38"/>
      <c r="D76" s="5" t="e">
        <f>VLOOKUP(B76,price!A:B,4,0)</f>
        <v>#N/A</v>
      </c>
    </row>
    <row r="77" spans="1:4" x14ac:dyDescent="0.2">
      <c r="A77" s="14"/>
      <c r="B77" s="38"/>
      <c r="D77" s="5" t="e">
        <f>VLOOKUP(B77,price!A:B,4,0)</f>
        <v>#N/A</v>
      </c>
    </row>
    <row r="78" spans="1:4" x14ac:dyDescent="0.2">
      <c r="A78" s="14"/>
      <c r="B78" s="38"/>
      <c r="D78" s="5" t="e">
        <f>VLOOKUP(B78,price!A:B,4,0)</f>
        <v>#N/A</v>
      </c>
    </row>
    <row r="79" spans="1:4" x14ac:dyDescent="0.2">
      <c r="A79" s="14"/>
      <c r="B79" s="38"/>
      <c r="D79" s="5" t="e">
        <f>VLOOKUP(B79,price!A:B,4,0)</f>
        <v>#N/A</v>
      </c>
    </row>
    <row r="80" spans="1:4" x14ac:dyDescent="0.2">
      <c r="A80" s="14"/>
      <c r="B80" s="38"/>
      <c r="D80" s="5" t="e">
        <f>VLOOKUP(B80,price!A:B,4,0)</f>
        <v>#N/A</v>
      </c>
    </row>
    <row r="81" spans="1:4" x14ac:dyDescent="0.2">
      <c r="A81" s="14"/>
      <c r="B81" s="38"/>
      <c r="D81" s="5" t="e">
        <f>VLOOKUP(B81,price!A:B,4,0)</f>
        <v>#N/A</v>
      </c>
    </row>
    <row r="82" spans="1:4" x14ac:dyDescent="0.2">
      <c r="A82" s="14"/>
      <c r="B82" s="38"/>
      <c r="D82" s="5" t="e">
        <f>VLOOKUP(B82,price!A:B,4,0)</f>
        <v>#N/A</v>
      </c>
    </row>
    <row r="83" spans="1:4" x14ac:dyDescent="0.2">
      <c r="A83" s="14"/>
      <c r="B83" s="38"/>
      <c r="D83" s="5" t="e">
        <f>VLOOKUP(B83,price!A:B,4,0)</f>
        <v>#N/A</v>
      </c>
    </row>
    <row r="84" spans="1:4" x14ac:dyDescent="0.2">
      <c r="A84" s="14"/>
      <c r="B84" s="38"/>
      <c r="D84" s="5" t="e">
        <f>VLOOKUP(B84,price!A:B,4,0)</f>
        <v>#N/A</v>
      </c>
    </row>
    <row r="85" spans="1:4" x14ac:dyDescent="0.2">
      <c r="A85" s="14"/>
      <c r="B85" s="38"/>
      <c r="D85" s="5" t="e">
        <f>VLOOKUP(B85,price!A:B,4,0)</f>
        <v>#N/A</v>
      </c>
    </row>
    <row r="86" spans="1:4" x14ac:dyDescent="0.2">
      <c r="A86" s="14"/>
      <c r="B86" s="38"/>
      <c r="D86" s="5" t="e">
        <f>VLOOKUP(B86,price!A:B,4,0)</f>
        <v>#N/A</v>
      </c>
    </row>
    <row r="87" spans="1:4" x14ac:dyDescent="0.2">
      <c r="A87" s="14"/>
      <c r="B87" s="38"/>
      <c r="D87" s="5" t="e">
        <f>VLOOKUP(B87,price!A:B,4,0)</f>
        <v>#N/A</v>
      </c>
    </row>
    <row r="88" spans="1:4" x14ac:dyDescent="0.2">
      <c r="A88" s="14"/>
      <c r="B88" s="38"/>
      <c r="D88" s="5" t="e">
        <f>VLOOKUP(B88,price!A:B,4,0)</f>
        <v>#N/A</v>
      </c>
    </row>
    <row r="89" spans="1:4" x14ac:dyDescent="0.2">
      <c r="A89" s="14"/>
      <c r="B89" s="38"/>
      <c r="D89" s="5" t="e">
        <f>VLOOKUP(B89,price!A:B,4,0)</f>
        <v>#N/A</v>
      </c>
    </row>
    <row r="90" spans="1:4" x14ac:dyDescent="0.2">
      <c r="A90" s="14"/>
      <c r="B90" s="38"/>
      <c r="D90" s="5" t="e">
        <f>VLOOKUP(B90,price!A:B,4,0)</f>
        <v>#N/A</v>
      </c>
    </row>
    <row r="91" spans="1:4" x14ac:dyDescent="0.2">
      <c r="A91" s="14"/>
      <c r="B91" s="38"/>
      <c r="D91" s="5" t="e">
        <f>VLOOKUP(B91,price!A:B,4,0)</f>
        <v>#N/A</v>
      </c>
    </row>
    <row r="92" spans="1:4" x14ac:dyDescent="0.2">
      <c r="A92" s="14"/>
      <c r="B92" s="38"/>
      <c r="D92" s="5" t="e">
        <f>VLOOKUP(B92,price!A:B,4,0)</f>
        <v>#N/A</v>
      </c>
    </row>
    <row r="93" spans="1:4" x14ac:dyDescent="0.2">
      <c r="A93" s="14"/>
      <c r="B93" s="38"/>
      <c r="D93" s="5" t="e">
        <f>VLOOKUP(B93,price!A:B,4,0)</f>
        <v>#N/A</v>
      </c>
    </row>
    <row r="94" spans="1:4" x14ac:dyDescent="0.2">
      <c r="A94" s="14"/>
      <c r="B94" s="38"/>
      <c r="D94" s="5" t="e">
        <f>VLOOKUP(B94,price!A:B,4,0)</f>
        <v>#N/A</v>
      </c>
    </row>
    <row r="95" spans="1:4" x14ac:dyDescent="0.2">
      <c r="A95" s="14"/>
      <c r="B95" s="38"/>
      <c r="D95" s="5" t="e">
        <f>VLOOKUP(B95,price!A:B,4,0)</f>
        <v>#N/A</v>
      </c>
    </row>
    <row r="96" spans="1:4" x14ac:dyDescent="0.2">
      <c r="A96" s="14"/>
      <c r="B96" s="38"/>
      <c r="D96" s="5" t="e">
        <f>VLOOKUP(B96,price!A:B,4,0)</f>
        <v>#N/A</v>
      </c>
    </row>
    <row r="97" spans="1:4" x14ac:dyDescent="0.2">
      <c r="A97" s="14"/>
      <c r="B97" s="38"/>
      <c r="D97" s="5" t="e">
        <f>VLOOKUP(B97,price!A:B,4,0)</f>
        <v>#N/A</v>
      </c>
    </row>
    <row r="98" spans="1:4" x14ac:dyDescent="0.2">
      <c r="A98" s="14"/>
      <c r="B98" s="38"/>
      <c r="D98" s="5" t="e">
        <f>VLOOKUP(B98,price!A:B,4,0)</f>
        <v>#N/A</v>
      </c>
    </row>
    <row r="99" spans="1:4" x14ac:dyDescent="0.2">
      <c r="A99" s="14"/>
      <c r="B99" s="38"/>
      <c r="D99" s="5" t="e">
        <f>VLOOKUP(B99,price!A:B,4,0)</f>
        <v>#N/A</v>
      </c>
    </row>
    <row r="100" spans="1:4" x14ac:dyDescent="0.2">
      <c r="A100" s="14"/>
      <c r="B100" s="38"/>
      <c r="D100" s="5" t="e">
        <f>VLOOKUP(B100,price!A:B,4,0)</f>
        <v>#N/A</v>
      </c>
    </row>
    <row r="101" spans="1:4" x14ac:dyDescent="0.2">
      <c r="A101" s="14"/>
      <c r="B101" s="38"/>
      <c r="D101" s="5" t="e">
        <f>VLOOKUP(B101,price!A:B,4,0)</f>
        <v>#N/A</v>
      </c>
    </row>
    <row r="102" spans="1:4" x14ac:dyDescent="0.2">
      <c r="A102" s="14"/>
      <c r="B102" s="38"/>
      <c r="D102" s="5" t="e">
        <f>VLOOKUP(B102,price!A:B,4,0)</f>
        <v>#N/A</v>
      </c>
    </row>
    <row r="103" spans="1:4" x14ac:dyDescent="0.2">
      <c r="A103" s="14"/>
      <c r="B103" s="38"/>
      <c r="D103" s="5" t="e">
        <f>VLOOKUP(B103,price!A:B,4,0)</f>
        <v>#N/A</v>
      </c>
    </row>
    <row r="104" spans="1:4" x14ac:dyDescent="0.2">
      <c r="A104" s="14"/>
      <c r="B104" s="38"/>
      <c r="D104" s="5" t="e">
        <f>VLOOKUP(B104,price!A:B,4,0)</f>
        <v>#N/A</v>
      </c>
    </row>
    <row r="105" spans="1:4" x14ac:dyDescent="0.2">
      <c r="A105" s="14"/>
      <c r="B105" s="38"/>
      <c r="D105" s="5" t="e">
        <f>VLOOKUP(B105,price!A:B,4,0)</f>
        <v>#N/A</v>
      </c>
    </row>
    <row r="106" spans="1:4" x14ac:dyDescent="0.2">
      <c r="A106" s="14"/>
      <c r="B106" s="38"/>
      <c r="D106" s="5" t="e">
        <f>VLOOKUP(B106,price!A:B,4,0)</f>
        <v>#N/A</v>
      </c>
    </row>
    <row r="107" spans="1:4" x14ac:dyDescent="0.2">
      <c r="A107" s="14"/>
      <c r="B107" s="38"/>
      <c r="D107" s="5" t="e">
        <f>VLOOKUP(B107,price!A:B,4,0)</f>
        <v>#N/A</v>
      </c>
    </row>
    <row r="108" spans="1:4" x14ac:dyDescent="0.2">
      <c r="A108" s="14"/>
      <c r="B108" s="38"/>
      <c r="D108" s="5" t="e">
        <f>VLOOKUP(B108,price!A:B,4,0)</f>
        <v>#N/A</v>
      </c>
    </row>
    <row r="109" spans="1:4" x14ac:dyDescent="0.2">
      <c r="A109" s="14"/>
      <c r="B109" s="38"/>
      <c r="D109" s="5" t="e">
        <f>VLOOKUP(B109,price!A:B,4,0)</f>
        <v>#N/A</v>
      </c>
    </row>
    <row r="110" spans="1:4" x14ac:dyDescent="0.2">
      <c r="A110" s="14"/>
      <c r="B110" s="38"/>
      <c r="D110" s="5" t="e">
        <f>VLOOKUP(B110,price!A:B,4,0)</f>
        <v>#N/A</v>
      </c>
    </row>
    <row r="111" spans="1:4" x14ac:dyDescent="0.2">
      <c r="A111" s="14"/>
      <c r="B111" s="38"/>
      <c r="D111" s="5" t="e">
        <f>VLOOKUP(B111,price!A:B,4,0)</f>
        <v>#N/A</v>
      </c>
    </row>
    <row r="112" spans="1:4" x14ac:dyDescent="0.2">
      <c r="A112" s="14"/>
      <c r="B112" s="38"/>
      <c r="D112" s="5" t="e">
        <f>VLOOKUP(B112,price!A:B,4,0)</f>
        <v>#N/A</v>
      </c>
    </row>
    <row r="113" spans="1:4" x14ac:dyDescent="0.2">
      <c r="A113" s="14"/>
      <c r="B113" s="38"/>
      <c r="D113" s="5" t="e">
        <f>VLOOKUP(B113,price!A:B,4,0)</f>
        <v>#N/A</v>
      </c>
    </row>
    <row r="114" spans="1:4" x14ac:dyDescent="0.2">
      <c r="A114" s="14"/>
      <c r="B114" s="38"/>
      <c r="D114" s="5" t="e">
        <f>VLOOKUP(B114,price!A:B,4,0)</f>
        <v>#N/A</v>
      </c>
    </row>
    <row r="115" spans="1:4" x14ac:dyDescent="0.2">
      <c r="A115" s="14"/>
      <c r="B115" s="38"/>
      <c r="D115" s="5" t="e">
        <f>VLOOKUP(B115,price!A:B,4,0)</f>
        <v>#N/A</v>
      </c>
    </row>
    <row r="116" spans="1:4" x14ac:dyDescent="0.2">
      <c r="A116" s="14"/>
      <c r="B116" s="38"/>
      <c r="D116" s="5" t="e">
        <f>VLOOKUP(B116,price!A:B,4,0)</f>
        <v>#N/A</v>
      </c>
    </row>
    <row r="117" spans="1:4" x14ac:dyDescent="0.2">
      <c r="A117" s="14"/>
      <c r="B117" s="38"/>
      <c r="D117" s="5" t="e">
        <f>VLOOKUP(B117,price!A:B,4,0)</f>
        <v>#N/A</v>
      </c>
    </row>
    <row r="118" spans="1:4" x14ac:dyDescent="0.2">
      <c r="A118" s="14"/>
      <c r="B118" s="38"/>
      <c r="D118" s="5" t="e">
        <f>VLOOKUP(B118,price!A:B,4,0)</f>
        <v>#N/A</v>
      </c>
    </row>
    <row r="119" spans="1:4" x14ac:dyDescent="0.2">
      <c r="A119" s="14"/>
      <c r="B119" s="38"/>
      <c r="D119" s="5" t="e">
        <f>VLOOKUP(B119,price!A:B,4,0)</f>
        <v>#N/A</v>
      </c>
    </row>
    <row r="120" spans="1:4" x14ac:dyDescent="0.2">
      <c r="A120" s="14"/>
      <c r="B120" s="38"/>
      <c r="D120" s="5" t="e">
        <f>VLOOKUP(B120,price!A:B,4,0)</f>
        <v>#N/A</v>
      </c>
    </row>
    <row r="121" spans="1:4" x14ac:dyDescent="0.2">
      <c r="A121" s="14"/>
      <c r="B121" s="38"/>
      <c r="D121" s="5" t="e">
        <f>VLOOKUP(B121,price!A:B,4,0)</f>
        <v>#N/A</v>
      </c>
    </row>
    <row r="122" spans="1:4" x14ac:dyDescent="0.2">
      <c r="A122" s="14"/>
      <c r="B122" s="38"/>
      <c r="D122" s="5" t="e">
        <f>VLOOKUP(B122,price!A:B,4,0)</f>
        <v>#N/A</v>
      </c>
    </row>
    <row r="123" spans="1:4" x14ac:dyDescent="0.2">
      <c r="A123" s="14"/>
      <c r="B123" s="38"/>
      <c r="D123" s="5" t="e">
        <f>VLOOKUP(B123,price!A:B,4,0)</f>
        <v>#N/A</v>
      </c>
    </row>
    <row r="124" spans="1:4" x14ac:dyDescent="0.2">
      <c r="A124" s="14"/>
      <c r="B124" s="38"/>
      <c r="D124" s="5" t="e">
        <f>VLOOKUP(B124,price!A:B,4,0)</f>
        <v>#N/A</v>
      </c>
    </row>
    <row r="125" spans="1:4" x14ac:dyDescent="0.2">
      <c r="A125" s="14"/>
      <c r="B125" s="38"/>
      <c r="D125" s="5" t="e">
        <f>VLOOKUP(B125,price!A:B,4,0)</f>
        <v>#N/A</v>
      </c>
    </row>
    <row r="126" spans="1:4" x14ac:dyDescent="0.2">
      <c r="A126" s="14"/>
      <c r="B126" s="38"/>
      <c r="D126" s="5" t="e">
        <f>VLOOKUP(B126,price!A:B,4,0)</f>
        <v>#N/A</v>
      </c>
    </row>
    <row r="127" spans="1:4" x14ac:dyDescent="0.2">
      <c r="A127" s="14"/>
      <c r="B127" s="38"/>
      <c r="D127" s="5" t="e">
        <f>VLOOKUP(B127,price!A:B,4,0)</f>
        <v>#N/A</v>
      </c>
    </row>
    <row r="128" spans="1:4" x14ac:dyDescent="0.2">
      <c r="A128" s="14"/>
      <c r="B128" s="38"/>
      <c r="D128" s="5" t="e">
        <f>VLOOKUP(B128,price!A:B,4,0)</f>
        <v>#N/A</v>
      </c>
    </row>
    <row r="129" spans="1:4" x14ac:dyDescent="0.2">
      <c r="A129" s="14"/>
      <c r="B129" s="38"/>
      <c r="D129" s="5" t="e">
        <f>VLOOKUP(B129,price!A:B,4,0)</f>
        <v>#N/A</v>
      </c>
    </row>
    <row r="130" spans="1:4" x14ac:dyDescent="0.2">
      <c r="A130" s="14"/>
      <c r="B130" s="38"/>
      <c r="D130" s="5" t="e">
        <f>VLOOKUP(B130,price!A:B,4,0)</f>
        <v>#N/A</v>
      </c>
    </row>
    <row r="131" spans="1:4" x14ac:dyDescent="0.2">
      <c r="A131" s="14"/>
      <c r="B131" s="49"/>
      <c r="D131" s="5" t="e">
        <f>VLOOKUP(B131,price!A:B,4,0)</f>
        <v>#N/A</v>
      </c>
    </row>
    <row r="132" spans="1:4" x14ac:dyDescent="0.2">
      <c r="A132" s="14"/>
      <c r="B132" s="38"/>
      <c r="D132" s="5" t="e">
        <f>VLOOKUP(B132,price!A:B,4,0)</f>
        <v>#N/A</v>
      </c>
    </row>
    <row r="133" spans="1:4" x14ac:dyDescent="0.2">
      <c r="A133" s="14"/>
      <c r="B133" s="38"/>
      <c r="D133" s="5" t="e">
        <f>VLOOKUP(B133,price!A:B,4,0)</f>
        <v>#N/A</v>
      </c>
    </row>
    <row r="134" spans="1:4" x14ac:dyDescent="0.2">
      <c r="A134" s="14"/>
      <c r="B134" s="38"/>
      <c r="D134" s="5" t="e">
        <f>VLOOKUP(B134,price!A:B,4,0)</f>
        <v>#N/A</v>
      </c>
    </row>
    <row r="135" spans="1:4" x14ac:dyDescent="0.2">
      <c r="A135" s="14"/>
      <c r="B135" s="38"/>
      <c r="D135" s="5" t="e">
        <f>VLOOKUP(B135,price!A:B,4,0)</f>
        <v>#N/A</v>
      </c>
    </row>
    <row r="136" spans="1:4" x14ac:dyDescent="0.2">
      <c r="A136" s="14"/>
      <c r="B136" s="38"/>
      <c r="D136" s="5" t="e">
        <f>VLOOKUP(B136,price!A:B,4,0)</f>
        <v>#N/A</v>
      </c>
    </row>
    <row r="137" spans="1:4" x14ac:dyDescent="0.2">
      <c r="A137" s="14"/>
      <c r="B137" s="38"/>
      <c r="D137" s="5" t="e">
        <f>VLOOKUP(B137,price!A:B,4,0)</f>
        <v>#N/A</v>
      </c>
    </row>
    <row r="138" spans="1:4" x14ac:dyDescent="0.2">
      <c r="A138" s="14"/>
      <c r="B138" s="38"/>
      <c r="D138" s="5" t="e">
        <f>VLOOKUP(B138,price!A:B,4,0)</f>
        <v>#N/A</v>
      </c>
    </row>
    <row r="139" spans="1:4" x14ac:dyDescent="0.2">
      <c r="A139" s="14"/>
      <c r="B139" s="38"/>
      <c r="D139" s="5" t="e">
        <f>VLOOKUP(B139,price!A:B,4,0)</f>
        <v>#N/A</v>
      </c>
    </row>
    <row r="140" spans="1:4" x14ac:dyDescent="0.2">
      <c r="A140" s="14"/>
      <c r="B140" s="38"/>
      <c r="D140" s="5" t="e">
        <f>VLOOKUP(B140,price!A:B,4,0)</f>
        <v>#N/A</v>
      </c>
    </row>
    <row r="141" spans="1:4" x14ac:dyDescent="0.2">
      <c r="A141" s="14"/>
      <c r="B141" s="38"/>
      <c r="D141" s="5" t="e">
        <f>VLOOKUP(B141,price!A:B,4,0)</f>
        <v>#N/A</v>
      </c>
    </row>
    <row r="142" spans="1:4" x14ac:dyDescent="0.2">
      <c r="A142" s="14"/>
      <c r="B142" s="38"/>
      <c r="D142" s="5" t="e">
        <f>VLOOKUP(B142,price!A:B,4,0)</f>
        <v>#N/A</v>
      </c>
    </row>
    <row r="143" spans="1:4" x14ac:dyDescent="0.2">
      <c r="A143" s="14"/>
      <c r="B143" s="38"/>
      <c r="D143" s="5" t="e">
        <f>VLOOKUP(B143,price!A:B,4,0)</f>
        <v>#N/A</v>
      </c>
    </row>
    <row r="144" spans="1:4" x14ac:dyDescent="0.2">
      <c r="A144" s="14"/>
      <c r="B144" s="38"/>
      <c r="D144" s="5" t="e">
        <f>VLOOKUP(B144,price!A:B,4,0)</f>
        <v>#N/A</v>
      </c>
    </row>
    <row r="145" spans="1:4" x14ac:dyDescent="0.2">
      <c r="A145" s="14"/>
      <c r="B145" s="38"/>
      <c r="D145" s="5" t="e">
        <f>VLOOKUP(B145,price!A:B,4,0)</f>
        <v>#N/A</v>
      </c>
    </row>
    <row r="146" spans="1:4" x14ac:dyDescent="0.2">
      <c r="A146" s="14"/>
      <c r="B146" s="38"/>
      <c r="D146" s="5" t="e">
        <f>VLOOKUP(B146,price!A:B,4,0)</f>
        <v>#N/A</v>
      </c>
    </row>
    <row r="147" spans="1:4" x14ac:dyDescent="0.2">
      <c r="A147" s="14"/>
      <c r="B147" s="38"/>
      <c r="D147" s="5" t="e">
        <f>VLOOKUP(B147,price!A:B,4,0)</f>
        <v>#N/A</v>
      </c>
    </row>
    <row r="148" spans="1:4" x14ac:dyDescent="0.2">
      <c r="A148" s="14"/>
      <c r="B148" s="38"/>
      <c r="D148" s="5" t="e">
        <f>VLOOKUP(B148,price!A:B,4,0)</f>
        <v>#N/A</v>
      </c>
    </row>
    <row r="149" spans="1:4" x14ac:dyDescent="0.2">
      <c r="A149" s="14"/>
      <c r="B149" s="38"/>
      <c r="D149" s="5" t="e">
        <f>VLOOKUP(B149,price!A:B,4,0)</f>
        <v>#N/A</v>
      </c>
    </row>
    <row r="150" spans="1:4" x14ac:dyDescent="0.2">
      <c r="A150" s="14"/>
      <c r="B150" s="38"/>
      <c r="D150" s="5" t="e">
        <f>VLOOKUP(B150,price!A:B,4,0)</f>
        <v>#N/A</v>
      </c>
    </row>
    <row r="151" spans="1:4" x14ac:dyDescent="0.2">
      <c r="A151" s="14"/>
      <c r="B151" s="38"/>
      <c r="D151" s="5" t="e">
        <f>VLOOKUP(B151,price!A:B,4,0)</f>
        <v>#N/A</v>
      </c>
    </row>
    <row r="152" spans="1:4" x14ac:dyDescent="0.2">
      <c r="A152" s="14"/>
      <c r="B152" s="38"/>
      <c r="D152" s="5" t="e">
        <f>VLOOKUP(B152,price!A:B,4,0)</f>
        <v>#N/A</v>
      </c>
    </row>
    <row r="153" spans="1:4" x14ac:dyDescent="0.2">
      <c r="A153" s="14"/>
      <c r="B153" s="38"/>
      <c r="D153" s="5" t="e">
        <f>VLOOKUP(B153,price!A:B,4,0)</f>
        <v>#N/A</v>
      </c>
    </row>
    <row r="154" spans="1:4" x14ac:dyDescent="0.2">
      <c r="A154" s="14"/>
      <c r="B154" s="38"/>
      <c r="D154" s="5" t="e">
        <f>VLOOKUP(B154,price!A:B,4,0)</f>
        <v>#N/A</v>
      </c>
    </row>
    <row r="155" spans="1:4" x14ac:dyDescent="0.2">
      <c r="A155" s="14"/>
      <c r="B155" s="38"/>
      <c r="D155" s="5" t="e">
        <f>VLOOKUP(B155,price!A:B,4,0)</f>
        <v>#N/A</v>
      </c>
    </row>
    <row r="156" spans="1:4" x14ac:dyDescent="0.2">
      <c r="A156" s="14"/>
      <c r="B156" s="38"/>
      <c r="D156" s="5" t="e">
        <f>VLOOKUP(B156,price!A:B,4,0)</f>
        <v>#N/A</v>
      </c>
    </row>
    <row r="157" spans="1:4" x14ac:dyDescent="0.2">
      <c r="A157" s="14"/>
      <c r="B157" s="38"/>
      <c r="D157" s="5" t="e">
        <f>VLOOKUP(B157,price!A:B,4,0)</f>
        <v>#N/A</v>
      </c>
    </row>
    <row r="158" spans="1:4" x14ac:dyDescent="0.2">
      <c r="A158" s="14"/>
      <c r="B158" s="38"/>
      <c r="D158" s="5" t="e">
        <f>VLOOKUP(B158,price!A:B,4,0)</f>
        <v>#N/A</v>
      </c>
    </row>
    <row r="159" spans="1:4" x14ac:dyDescent="0.2">
      <c r="A159" s="14"/>
      <c r="B159" s="38"/>
      <c r="D159" s="5" t="e">
        <f>VLOOKUP(B159,price!A:B,4,0)</f>
        <v>#N/A</v>
      </c>
    </row>
    <row r="160" spans="1:4" x14ac:dyDescent="0.2">
      <c r="A160" s="14"/>
      <c r="B160" s="38"/>
      <c r="D160" s="5" t="e">
        <f>VLOOKUP(B160,price!A:B,4,0)</f>
        <v>#N/A</v>
      </c>
    </row>
    <row r="161" spans="1:4" x14ac:dyDescent="0.2">
      <c r="A161" s="14"/>
      <c r="B161" s="38"/>
      <c r="D161" s="5" t="e">
        <f>VLOOKUP(B161,price!A:B,4,0)</f>
        <v>#N/A</v>
      </c>
    </row>
    <row r="162" spans="1:4" x14ac:dyDescent="0.2">
      <c r="A162" s="14"/>
      <c r="B162" s="38"/>
      <c r="D162" s="5" t="e">
        <f>VLOOKUP(B162,price!A:B,4,0)</f>
        <v>#N/A</v>
      </c>
    </row>
    <row r="163" spans="1:4" x14ac:dyDescent="0.2">
      <c r="A163" s="14"/>
      <c r="B163" s="38"/>
      <c r="D163" s="5" t="e">
        <f>VLOOKUP(B163,price!A:B,4,0)</f>
        <v>#N/A</v>
      </c>
    </row>
    <row r="164" spans="1:4" x14ac:dyDescent="0.2">
      <c r="A164" s="14"/>
      <c r="B164" s="38"/>
      <c r="D164" s="5" t="e">
        <f>VLOOKUP(B164,price!A:B,4,0)</f>
        <v>#N/A</v>
      </c>
    </row>
    <row r="165" spans="1:4" x14ac:dyDescent="0.2">
      <c r="A165" s="14"/>
      <c r="B165" s="38"/>
      <c r="D165" s="5" t="e">
        <f>VLOOKUP(B165,price!A:B,4,0)</f>
        <v>#N/A</v>
      </c>
    </row>
    <row r="166" spans="1:4" x14ac:dyDescent="0.2">
      <c r="A166" s="14"/>
      <c r="B166" s="38"/>
      <c r="D166" s="5" t="e">
        <f>VLOOKUP(B166,price!A:B,4,0)</f>
        <v>#N/A</v>
      </c>
    </row>
    <row r="167" spans="1:4" x14ac:dyDescent="0.2">
      <c r="A167" s="14"/>
      <c r="B167" s="38"/>
      <c r="D167" s="5" t="e">
        <f>VLOOKUP(B167,price!A:B,4,0)</f>
        <v>#N/A</v>
      </c>
    </row>
    <row r="168" spans="1:4" x14ac:dyDescent="0.2">
      <c r="A168" s="14"/>
      <c r="B168" s="38"/>
      <c r="D168" s="5" t="e">
        <f>VLOOKUP(B168,price!A:B,4,0)</f>
        <v>#N/A</v>
      </c>
    </row>
    <row r="169" spans="1:4" x14ac:dyDescent="0.2">
      <c r="A169" s="14"/>
      <c r="B169" s="38"/>
      <c r="D169" s="5" t="e">
        <f>VLOOKUP(B169,price!A:B,4,0)</f>
        <v>#N/A</v>
      </c>
    </row>
    <row r="170" spans="1:4" x14ac:dyDescent="0.2">
      <c r="A170" s="14"/>
      <c r="B170" s="38"/>
      <c r="D170" s="5" t="e">
        <f>VLOOKUP(B170,price!A:B,4,0)</f>
        <v>#N/A</v>
      </c>
    </row>
    <row r="171" spans="1:4" x14ac:dyDescent="0.2">
      <c r="A171" s="14"/>
      <c r="B171" s="38"/>
      <c r="D171" s="5" t="e">
        <f>VLOOKUP(B171,price!A:B,4,0)</f>
        <v>#N/A</v>
      </c>
    </row>
    <row r="172" spans="1:4" x14ac:dyDescent="0.2">
      <c r="A172" s="14"/>
      <c r="B172" s="38"/>
      <c r="D172" s="5" t="e">
        <f>VLOOKUP(B172,price!A:B,4,0)</f>
        <v>#N/A</v>
      </c>
    </row>
    <row r="173" spans="1:4" x14ac:dyDescent="0.2">
      <c r="A173" s="14"/>
      <c r="B173" s="38"/>
      <c r="D173" s="5" t="e">
        <f>VLOOKUP(B173,price!A:B,4,0)</f>
        <v>#N/A</v>
      </c>
    </row>
    <row r="174" spans="1:4" x14ac:dyDescent="0.2">
      <c r="A174" s="14"/>
      <c r="B174" s="38"/>
      <c r="D174" s="5" t="e">
        <f>VLOOKUP(B174,price!A:B,4,0)</f>
        <v>#N/A</v>
      </c>
    </row>
    <row r="175" spans="1:4" x14ac:dyDescent="0.2">
      <c r="A175" s="14"/>
      <c r="B175" s="38"/>
      <c r="D175" s="5" t="e">
        <f>VLOOKUP(B175,price!A:B,4,0)</f>
        <v>#N/A</v>
      </c>
    </row>
    <row r="176" spans="1:4" x14ac:dyDescent="0.2">
      <c r="A176" s="14"/>
      <c r="B176" s="40"/>
      <c r="D176" s="5" t="e">
        <f>VLOOKUP(B176,price!A:B,4,0)</f>
        <v>#N/A</v>
      </c>
    </row>
    <row r="177" spans="1:4" x14ac:dyDescent="0.2">
      <c r="A177" s="14"/>
      <c r="B177" s="40"/>
      <c r="D177" s="5" t="e">
        <f>VLOOKUP(B177,price!A:B,4,0)</f>
        <v>#N/A</v>
      </c>
    </row>
    <row r="178" spans="1:4" x14ac:dyDescent="0.2">
      <c r="A178" s="14"/>
      <c r="B178" s="40"/>
      <c r="D178" s="5" t="e">
        <f>VLOOKUP(B178,price!A:B,4,0)</f>
        <v>#N/A</v>
      </c>
    </row>
    <row r="179" spans="1:4" x14ac:dyDescent="0.2">
      <c r="A179" s="14"/>
      <c r="B179" s="38"/>
      <c r="D179" s="5" t="e">
        <f>VLOOKUP(B179,price!A:B,4,0)</f>
        <v>#N/A</v>
      </c>
    </row>
    <row r="180" spans="1:4" x14ac:dyDescent="0.2">
      <c r="A180" s="14"/>
      <c r="B180" s="38"/>
      <c r="D180" s="5" t="e">
        <f>VLOOKUP(B180,price!A:B,4,0)</f>
        <v>#N/A</v>
      </c>
    </row>
    <row r="181" spans="1:4" x14ac:dyDescent="0.2">
      <c r="A181" s="14"/>
      <c r="B181" s="38"/>
      <c r="D181" s="5" t="e">
        <f>VLOOKUP(B181,price!A:B,4,0)</f>
        <v>#N/A</v>
      </c>
    </row>
    <row r="182" spans="1:4" x14ac:dyDescent="0.2">
      <c r="A182" s="14"/>
      <c r="B182" s="38"/>
      <c r="D182" s="5" t="e">
        <f>VLOOKUP(B182,price!A:B,4,0)</f>
        <v>#N/A</v>
      </c>
    </row>
    <row r="183" spans="1:4" x14ac:dyDescent="0.2">
      <c r="A183" s="14"/>
      <c r="B183" s="38"/>
      <c r="D183" s="5" t="e">
        <f>VLOOKUP(B183,price!A:B,4,0)</f>
        <v>#N/A</v>
      </c>
    </row>
    <row r="184" spans="1:4" x14ac:dyDescent="0.2">
      <c r="A184" s="14"/>
      <c r="B184" s="38"/>
      <c r="D184" s="5" t="e">
        <f>VLOOKUP(B184,price!A:B,4,0)</f>
        <v>#N/A</v>
      </c>
    </row>
    <row r="185" spans="1:4" x14ac:dyDescent="0.2">
      <c r="A185" s="14"/>
      <c r="B185" s="38"/>
      <c r="D185" s="5" t="e">
        <f>VLOOKUP(B185,price!A:B,4,0)</f>
        <v>#N/A</v>
      </c>
    </row>
    <row r="186" spans="1:4" x14ac:dyDescent="0.2">
      <c r="A186" s="14"/>
      <c r="B186" s="38"/>
      <c r="D186" s="5" t="e">
        <f>VLOOKUP(B186,price!A:B,4,0)</f>
        <v>#N/A</v>
      </c>
    </row>
    <row r="187" spans="1:4" x14ac:dyDescent="0.2">
      <c r="A187" s="14"/>
      <c r="B187" s="38"/>
      <c r="D187" s="5" t="e">
        <f>VLOOKUP(B187,price!A:B,4,0)</f>
        <v>#N/A</v>
      </c>
    </row>
    <row r="188" spans="1:4" x14ac:dyDescent="0.2">
      <c r="A188" s="14"/>
      <c r="B188" s="38"/>
      <c r="D188" s="5" t="e">
        <f>VLOOKUP(B188,price!A:B,4,0)</f>
        <v>#N/A</v>
      </c>
    </row>
    <row r="189" spans="1:4" s="1" customFormat="1" x14ac:dyDescent="0.2">
      <c r="A189" s="14"/>
      <c r="B189" s="38"/>
      <c r="C189" s="3"/>
      <c r="D189" s="5" t="e">
        <f>VLOOKUP(B189,price!A:B,4,0)</f>
        <v>#N/A</v>
      </c>
    </row>
    <row r="190" spans="1:4" x14ac:dyDescent="0.2">
      <c r="A190" s="14"/>
      <c r="B190" s="38"/>
      <c r="D190" s="5" t="e">
        <f>VLOOKUP(B190,price!A:B,4,0)</f>
        <v>#N/A</v>
      </c>
    </row>
    <row r="191" spans="1:4" x14ac:dyDescent="0.2">
      <c r="A191" s="14"/>
      <c r="B191" s="38"/>
      <c r="D191" s="5" t="e">
        <f>VLOOKUP(B191,price!A:B,4,0)</f>
        <v>#N/A</v>
      </c>
    </row>
    <row r="192" spans="1:4" x14ac:dyDescent="0.2">
      <c r="A192" s="14"/>
      <c r="B192" s="38"/>
      <c r="D192" s="5" t="e">
        <f>VLOOKUP(B192,price!A:B,4,0)</f>
        <v>#N/A</v>
      </c>
    </row>
    <row r="193" spans="1:4" x14ac:dyDescent="0.2">
      <c r="A193" s="14"/>
      <c r="B193" s="38"/>
      <c r="D193" s="5" t="e">
        <f>VLOOKUP(B193,price!A:B,4,0)</f>
        <v>#N/A</v>
      </c>
    </row>
    <row r="194" spans="1:4" x14ac:dyDescent="0.2">
      <c r="A194" s="14"/>
      <c r="B194" s="38"/>
      <c r="D194" s="5" t="e">
        <f>VLOOKUP(B194,price!A:B,4,0)</f>
        <v>#N/A</v>
      </c>
    </row>
    <row r="195" spans="1:4" x14ac:dyDescent="0.2">
      <c r="A195" s="14"/>
      <c r="B195" s="38"/>
      <c r="D195" s="5" t="e">
        <f>VLOOKUP(B195,price!A:B,4,0)</f>
        <v>#N/A</v>
      </c>
    </row>
    <row r="196" spans="1:4" x14ac:dyDescent="0.2">
      <c r="A196" s="14"/>
      <c r="B196" s="38"/>
      <c r="D196" s="5" t="e">
        <f>VLOOKUP(B196,price!A:B,4,0)</f>
        <v>#N/A</v>
      </c>
    </row>
    <row r="197" spans="1:4" x14ac:dyDescent="0.2">
      <c r="A197" s="14"/>
      <c r="B197" s="38"/>
      <c r="D197" s="5" t="e">
        <f>VLOOKUP(B197,price!A:B,4,0)</f>
        <v>#N/A</v>
      </c>
    </row>
    <row r="198" spans="1:4" x14ac:dyDescent="0.2">
      <c r="A198" s="14"/>
      <c r="B198" s="38"/>
      <c r="D198" s="5" t="e">
        <f>VLOOKUP(B198,price!A:B,4,0)</f>
        <v>#N/A</v>
      </c>
    </row>
    <row r="199" spans="1:4" x14ac:dyDescent="0.2">
      <c r="A199" s="14"/>
      <c r="B199" s="38"/>
      <c r="D199" s="5" t="e">
        <f>VLOOKUP(B199,price!A:B,4,0)</f>
        <v>#N/A</v>
      </c>
    </row>
    <row r="200" spans="1:4" x14ac:dyDescent="0.2">
      <c r="A200" s="14"/>
      <c r="B200" s="38"/>
      <c r="D200" s="5" t="e">
        <f>VLOOKUP(B200,price!A:B,4,0)</f>
        <v>#N/A</v>
      </c>
    </row>
    <row r="201" spans="1:4" x14ac:dyDescent="0.2">
      <c r="A201" s="14"/>
      <c r="B201" s="38"/>
      <c r="D201" s="5" t="e">
        <f>VLOOKUP(B201,price!A:B,4,0)</f>
        <v>#N/A</v>
      </c>
    </row>
    <row r="202" spans="1:4" x14ac:dyDescent="0.2">
      <c r="A202" s="14"/>
      <c r="B202" s="38"/>
      <c r="D202" s="5" t="e">
        <f>VLOOKUP(B202,price!A:B,4,0)</f>
        <v>#N/A</v>
      </c>
    </row>
    <row r="203" spans="1:4" x14ac:dyDescent="0.2">
      <c r="A203" s="14"/>
      <c r="B203" s="38"/>
      <c r="D203" s="5" t="e">
        <f>VLOOKUP(B203,price!A:B,4,0)</f>
        <v>#N/A</v>
      </c>
    </row>
    <row r="204" spans="1:4" x14ac:dyDescent="0.2">
      <c r="A204" s="14"/>
      <c r="B204" s="38"/>
      <c r="D204" s="5" t="e">
        <f>VLOOKUP(B204,price!A:B,4,0)</f>
        <v>#N/A</v>
      </c>
    </row>
    <row r="205" spans="1:4" x14ac:dyDescent="0.2">
      <c r="A205" s="14"/>
      <c r="B205" s="38"/>
      <c r="D205" s="5" t="e">
        <f>VLOOKUP(B205,price!A:B,4,0)</f>
        <v>#N/A</v>
      </c>
    </row>
    <row r="206" spans="1:4" x14ac:dyDescent="0.2">
      <c r="A206" s="14"/>
      <c r="B206" s="38"/>
      <c r="D206" s="5" t="e">
        <f>VLOOKUP(B206,price!A:B,4,0)</f>
        <v>#N/A</v>
      </c>
    </row>
    <row r="207" spans="1:4" x14ac:dyDescent="0.2">
      <c r="A207" s="14"/>
      <c r="B207" s="38"/>
      <c r="D207" s="5" t="e">
        <f>VLOOKUP(B207,price!A:B,4,0)</f>
        <v>#N/A</v>
      </c>
    </row>
    <row r="208" spans="1:4" x14ac:dyDescent="0.2">
      <c r="A208" s="14"/>
      <c r="B208" s="38"/>
      <c r="D208" s="5" t="e">
        <f>VLOOKUP(B208,price!A:B,4,0)</f>
        <v>#N/A</v>
      </c>
    </row>
    <row r="209" spans="1:5" x14ac:dyDescent="0.2">
      <c r="A209" s="14"/>
      <c r="B209" s="38"/>
      <c r="D209" s="5" t="e">
        <f>VLOOKUP(B209,price!A:B,4,0)</f>
        <v>#N/A</v>
      </c>
    </row>
    <row r="210" spans="1:5" x14ac:dyDescent="0.2">
      <c r="A210" s="14"/>
      <c r="B210" s="38"/>
      <c r="D210" s="5" t="e">
        <f>VLOOKUP(B210,price!A:B,4,0)</f>
        <v>#N/A</v>
      </c>
    </row>
    <row r="211" spans="1:5" x14ac:dyDescent="0.2">
      <c r="A211" s="14"/>
      <c r="B211" s="38"/>
      <c r="D211" s="5" t="e">
        <f>VLOOKUP(B211,price!A:B,4,0)</f>
        <v>#N/A</v>
      </c>
    </row>
    <row r="212" spans="1:5" x14ac:dyDescent="0.2">
      <c r="A212" s="14"/>
      <c r="B212" s="38"/>
      <c r="D212" s="5" t="e">
        <f>VLOOKUP(B212,price!A:B,4,0)</f>
        <v>#N/A</v>
      </c>
    </row>
    <row r="213" spans="1:5" x14ac:dyDescent="0.2">
      <c r="A213" s="14"/>
      <c r="B213" s="38"/>
      <c r="D213" s="5" t="e">
        <f>VLOOKUP(B213,price!A:B,4,0)</f>
        <v>#N/A</v>
      </c>
    </row>
    <row r="214" spans="1:5" x14ac:dyDescent="0.2">
      <c r="A214" s="14"/>
      <c r="B214" s="38"/>
      <c r="D214" s="5" t="e">
        <f>VLOOKUP(B214,price!A:B,4,0)</f>
        <v>#N/A</v>
      </c>
    </row>
    <row r="215" spans="1:5" x14ac:dyDescent="0.2">
      <c r="A215" s="14"/>
      <c r="B215" s="38"/>
      <c r="D215" s="5" t="e">
        <f>VLOOKUP(B215,price!A:B,4,0)</f>
        <v>#N/A</v>
      </c>
    </row>
    <row r="216" spans="1:5" s="1" customFormat="1" x14ac:dyDescent="0.2">
      <c r="A216" s="14"/>
      <c r="B216" s="38"/>
      <c r="C216" s="3"/>
      <c r="D216" s="5" t="e">
        <f>VLOOKUP(B216,price!A:B,4,0)</f>
        <v>#N/A</v>
      </c>
    </row>
    <row r="217" spans="1:5" s="1" customFormat="1" x14ac:dyDescent="0.2">
      <c r="A217" s="14"/>
      <c r="B217" s="41"/>
      <c r="C217" s="3"/>
      <c r="D217" s="5" t="e">
        <f>VLOOKUP(B217,price!A:B,4,0)</f>
        <v>#N/A</v>
      </c>
    </row>
    <row r="218" spans="1:5" s="1" customFormat="1" x14ac:dyDescent="0.2">
      <c r="A218" s="14"/>
      <c r="B218" s="38"/>
      <c r="C218" s="3"/>
      <c r="D218" s="5" t="e">
        <f>VLOOKUP(B218,price!A:B,4,0)</f>
        <v>#N/A</v>
      </c>
    </row>
    <row r="219" spans="1:5" s="1" customFormat="1" x14ac:dyDescent="0.2">
      <c r="A219" s="14"/>
      <c r="B219" s="38"/>
      <c r="C219" s="3"/>
      <c r="D219" s="5" t="e">
        <f>VLOOKUP(B219,price!A:B,4,0)</f>
        <v>#N/A</v>
      </c>
    </row>
    <row r="220" spans="1:5" s="1" customFormat="1" x14ac:dyDescent="0.2">
      <c r="A220" s="14"/>
      <c r="B220" s="38"/>
      <c r="C220" s="3"/>
      <c r="D220" s="5" t="e">
        <f>VLOOKUP(B220,price!A:B,4,0)</f>
        <v>#N/A</v>
      </c>
    </row>
    <row r="221" spans="1:5" x14ac:dyDescent="0.2">
      <c r="A221" s="14"/>
      <c r="B221" s="38"/>
      <c r="D221" s="5" t="e">
        <f>VLOOKUP(B221,price!A:B,4,0)</f>
        <v>#N/A</v>
      </c>
      <c r="E221" s="11"/>
    </row>
    <row r="222" spans="1:5" x14ac:dyDescent="0.2">
      <c r="A222" s="14"/>
      <c r="B222" s="38"/>
      <c r="D222" s="5" t="e">
        <f>VLOOKUP(B222,price!A:B,4,0)</f>
        <v>#N/A</v>
      </c>
      <c r="E222" s="11"/>
    </row>
    <row r="223" spans="1:5" x14ac:dyDescent="0.2">
      <c r="A223" s="14"/>
      <c r="B223" s="38"/>
      <c r="D223" s="5" t="e">
        <f>VLOOKUP(B223,price!A:B,4,0)</f>
        <v>#N/A</v>
      </c>
      <c r="E223" s="11"/>
    </row>
    <row r="224" spans="1:5" x14ac:dyDescent="0.2">
      <c r="A224" s="14"/>
      <c r="B224" s="38"/>
      <c r="D224" s="5" t="e">
        <f>VLOOKUP(B224,price!A:B,4,0)</f>
        <v>#N/A</v>
      </c>
      <c r="E224" s="11"/>
    </row>
    <row r="225" spans="1:5" x14ac:dyDescent="0.2">
      <c r="A225" s="14"/>
      <c r="B225" s="38"/>
      <c r="D225" s="5" t="e">
        <f>VLOOKUP(B225,price!A:B,4,0)</f>
        <v>#N/A</v>
      </c>
      <c r="E225" s="11"/>
    </row>
    <row r="226" spans="1:5" x14ac:dyDescent="0.2">
      <c r="A226" s="14"/>
      <c r="B226" s="38"/>
      <c r="D226" s="5" t="e">
        <f>VLOOKUP(B226,price!A:B,4,0)</f>
        <v>#N/A</v>
      </c>
    </row>
    <row r="227" spans="1:5" x14ac:dyDescent="0.2">
      <c r="A227" s="14"/>
      <c r="B227" s="38"/>
      <c r="D227" s="5" t="e">
        <f>VLOOKUP(B227,price!A:B,4,0)</f>
        <v>#N/A</v>
      </c>
    </row>
    <row r="228" spans="1:5" x14ac:dyDescent="0.2">
      <c r="A228" s="14"/>
      <c r="B228" s="38"/>
      <c r="D228" s="5" t="e">
        <f>VLOOKUP(B228,price!A:B,4,0)</f>
        <v>#N/A</v>
      </c>
      <c r="E228" s="10"/>
    </row>
    <row r="229" spans="1:5" x14ac:dyDescent="0.2">
      <c r="A229" s="14"/>
      <c r="B229" s="38"/>
      <c r="D229" s="5" t="e">
        <f>VLOOKUP(B229,price!A:B,4,0)</f>
        <v>#N/A</v>
      </c>
      <c r="E229" s="10"/>
    </row>
    <row r="230" spans="1:5" x14ac:dyDescent="0.2">
      <c r="A230" s="14"/>
      <c r="B230" s="38"/>
      <c r="D230" s="5" t="e">
        <f>VLOOKUP(B230,price!A:B,4,0)</f>
        <v>#N/A</v>
      </c>
      <c r="E230" s="10"/>
    </row>
    <row r="231" spans="1:5" x14ac:dyDescent="0.2">
      <c r="A231" s="14"/>
      <c r="B231" s="38"/>
      <c r="D231" s="5" t="e">
        <f>VLOOKUP(B231,price!A:B,4,0)</f>
        <v>#N/A</v>
      </c>
      <c r="E231" s="10"/>
    </row>
    <row r="232" spans="1:5" x14ac:dyDescent="0.2">
      <c r="A232" s="14"/>
      <c r="B232" s="38"/>
      <c r="D232" s="5" t="e">
        <f>VLOOKUP(B232,price!A:B,4,0)</f>
        <v>#N/A</v>
      </c>
      <c r="E232" s="10"/>
    </row>
    <row r="233" spans="1:5" x14ac:dyDescent="0.2">
      <c r="A233" s="14"/>
      <c r="B233" s="38"/>
      <c r="D233" s="5" t="e">
        <f>VLOOKUP(B233,price!A:B,4,0)</f>
        <v>#N/A</v>
      </c>
    </row>
    <row r="234" spans="1:5" x14ac:dyDescent="0.2">
      <c r="A234" s="14"/>
      <c r="B234" s="38"/>
      <c r="D234" s="5" t="e">
        <f>VLOOKUP(B234,price!A:B,4,0)</f>
        <v>#N/A</v>
      </c>
    </row>
    <row r="235" spans="1:5" x14ac:dyDescent="0.2">
      <c r="A235" s="14"/>
      <c r="B235" s="38"/>
      <c r="D235" s="5" t="e">
        <f>VLOOKUP(B235,price!A:B,4,0)</f>
        <v>#N/A</v>
      </c>
    </row>
    <row r="236" spans="1:5" x14ac:dyDescent="0.2">
      <c r="A236" s="14"/>
      <c r="B236" s="38"/>
      <c r="D236" s="5" t="e">
        <f>VLOOKUP(B236,price!A:B,4,0)</f>
        <v>#N/A</v>
      </c>
    </row>
    <row r="237" spans="1:5" x14ac:dyDescent="0.2">
      <c r="A237" s="14"/>
      <c r="B237" s="38"/>
      <c r="D237" s="5" t="e">
        <f>VLOOKUP(B237,price!A:B,4,0)</f>
        <v>#N/A</v>
      </c>
    </row>
    <row r="238" spans="1:5" x14ac:dyDescent="0.2">
      <c r="A238" s="14"/>
      <c r="B238" s="38"/>
      <c r="D238" s="5" t="e">
        <f>VLOOKUP(B238,price!A:B,4,0)</f>
        <v>#N/A</v>
      </c>
    </row>
    <row r="239" spans="1:5" x14ac:dyDescent="0.2">
      <c r="A239" s="14"/>
      <c r="B239" s="38"/>
      <c r="D239" s="5" t="e">
        <f>VLOOKUP(B239,price!A:B,4,0)</f>
        <v>#N/A</v>
      </c>
    </row>
    <row r="240" spans="1:5" x14ac:dyDescent="0.2">
      <c r="A240" s="14"/>
      <c r="B240" s="38"/>
      <c r="D240" s="5" t="e">
        <f>VLOOKUP(B240,price!A:B,4,0)</f>
        <v>#N/A</v>
      </c>
    </row>
    <row r="241" spans="1:4" x14ac:dyDescent="0.2">
      <c r="A241" s="14"/>
      <c r="B241" s="38"/>
      <c r="D241" s="5" t="e">
        <f>VLOOKUP(B241,price!A:B,4,0)</f>
        <v>#N/A</v>
      </c>
    </row>
    <row r="242" spans="1:4" x14ac:dyDescent="0.2">
      <c r="A242" s="14"/>
      <c r="B242" s="38"/>
      <c r="D242" s="5" t="e">
        <f>VLOOKUP(B242,price!A:B,4,0)</f>
        <v>#N/A</v>
      </c>
    </row>
    <row r="243" spans="1:4" x14ac:dyDescent="0.2">
      <c r="A243" s="14"/>
      <c r="B243" s="38"/>
      <c r="D243" s="5" t="e">
        <f>VLOOKUP(B243,price!A:B,4,0)</f>
        <v>#N/A</v>
      </c>
    </row>
    <row r="244" spans="1:4" x14ac:dyDescent="0.2">
      <c r="A244" s="14"/>
      <c r="B244" s="38"/>
      <c r="D244" s="5" t="e">
        <f>VLOOKUP(B244,price!A:B,4,0)</f>
        <v>#N/A</v>
      </c>
    </row>
    <row r="245" spans="1:4" x14ac:dyDescent="0.2">
      <c r="A245" s="14"/>
      <c r="B245" s="38"/>
      <c r="D245" s="5" t="e">
        <f>VLOOKUP(B245,price!A:B,4,0)</f>
        <v>#N/A</v>
      </c>
    </row>
    <row r="246" spans="1:4" x14ac:dyDescent="0.2">
      <c r="A246" s="14"/>
      <c r="B246" s="38"/>
      <c r="D246" s="5" t="e">
        <f>VLOOKUP(B246,price!A:B,4,0)</f>
        <v>#N/A</v>
      </c>
    </row>
    <row r="247" spans="1:4" x14ac:dyDescent="0.2">
      <c r="A247" s="14"/>
      <c r="B247" s="38"/>
      <c r="D247" s="5" t="e">
        <f>VLOOKUP(B247,price!A:B,4,0)</f>
        <v>#N/A</v>
      </c>
    </row>
    <row r="248" spans="1:4" x14ac:dyDescent="0.2">
      <c r="A248" s="14"/>
      <c r="B248" s="38"/>
      <c r="D248" s="5" t="e">
        <f>VLOOKUP(B248,price!A:B,4,0)</f>
        <v>#N/A</v>
      </c>
    </row>
    <row r="249" spans="1:4" x14ac:dyDescent="0.2">
      <c r="A249" s="14"/>
      <c r="B249" s="38"/>
      <c r="D249" s="5" t="e">
        <f>VLOOKUP(B249,price!A:B,4,0)</f>
        <v>#N/A</v>
      </c>
    </row>
    <row r="250" spans="1:4" x14ac:dyDescent="0.2">
      <c r="A250" s="14"/>
      <c r="B250" s="38"/>
      <c r="D250" s="5" t="e">
        <f>VLOOKUP(B250,price!A:B,4,0)</f>
        <v>#N/A</v>
      </c>
    </row>
    <row r="251" spans="1:4" x14ac:dyDescent="0.2">
      <c r="A251" s="14"/>
      <c r="B251" s="38"/>
      <c r="D251" s="5" t="e">
        <f>VLOOKUP(B251,price!A:B,4,0)</f>
        <v>#N/A</v>
      </c>
    </row>
    <row r="252" spans="1:4" x14ac:dyDescent="0.2">
      <c r="A252" s="14"/>
      <c r="B252" s="38"/>
      <c r="D252" s="5" t="e">
        <f>VLOOKUP(B252,price!A:B,4,0)</f>
        <v>#N/A</v>
      </c>
    </row>
    <row r="253" spans="1:4" x14ac:dyDescent="0.2">
      <c r="A253" s="14"/>
      <c r="B253" s="38"/>
      <c r="D253" s="5" t="e">
        <f>VLOOKUP(B253,price!A:B,4,0)</f>
        <v>#N/A</v>
      </c>
    </row>
    <row r="254" spans="1:4" x14ac:dyDescent="0.2">
      <c r="A254" s="14"/>
      <c r="B254" s="38"/>
      <c r="D254" s="5" t="e">
        <f>VLOOKUP(B254,price!A:B,4,0)</f>
        <v>#N/A</v>
      </c>
    </row>
    <row r="255" spans="1:4" x14ac:dyDescent="0.2">
      <c r="A255" s="14"/>
      <c r="B255" s="38"/>
      <c r="D255" s="5" t="e">
        <f>VLOOKUP(B255,price!A:B,4,0)</f>
        <v>#N/A</v>
      </c>
    </row>
    <row r="256" spans="1:4" x14ac:dyDescent="0.2">
      <c r="A256" s="14"/>
      <c r="B256" s="38"/>
      <c r="D256" s="5" t="e">
        <f>VLOOKUP(B256,price!A:B,4,0)</f>
        <v>#N/A</v>
      </c>
    </row>
    <row r="257" spans="1:4" x14ac:dyDescent="0.2">
      <c r="A257" s="14"/>
      <c r="B257" s="38"/>
      <c r="D257" s="5" t="e">
        <f>VLOOKUP(B257,price!A:B,4,0)</f>
        <v>#N/A</v>
      </c>
    </row>
    <row r="258" spans="1:4" x14ac:dyDescent="0.2">
      <c r="A258" s="14"/>
      <c r="B258" s="38"/>
      <c r="D258" s="5" t="e">
        <f>VLOOKUP(B258,price!A:B,4,0)</f>
        <v>#N/A</v>
      </c>
    </row>
    <row r="259" spans="1:4" x14ac:dyDescent="0.2">
      <c r="A259" s="14"/>
      <c r="B259" s="38"/>
      <c r="D259" s="5" t="e">
        <f>VLOOKUP(B259,price!A:B,4,0)</f>
        <v>#N/A</v>
      </c>
    </row>
    <row r="260" spans="1:4" x14ac:dyDescent="0.2">
      <c r="A260" s="14"/>
      <c r="B260" s="38"/>
      <c r="D260" s="5" t="e">
        <f>VLOOKUP(B260,price!A:B,4,0)</f>
        <v>#N/A</v>
      </c>
    </row>
    <row r="261" spans="1:4" x14ac:dyDescent="0.2">
      <c r="A261" s="14"/>
      <c r="B261" s="38"/>
      <c r="D261" s="5" t="e">
        <f>VLOOKUP(B261,price!A:B,4,0)</f>
        <v>#N/A</v>
      </c>
    </row>
    <row r="262" spans="1:4" x14ac:dyDescent="0.2">
      <c r="A262" s="14"/>
      <c r="B262" s="38"/>
      <c r="D262" s="5" t="e">
        <f>VLOOKUP(B262,price!A:B,4,0)</f>
        <v>#N/A</v>
      </c>
    </row>
    <row r="263" spans="1:4" x14ac:dyDescent="0.2">
      <c r="A263" s="14"/>
      <c r="B263" s="38"/>
      <c r="D263" s="5" t="e">
        <f>VLOOKUP(B263,price!A:B,4,0)</f>
        <v>#N/A</v>
      </c>
    </row>
    <row r="264" spans="1:4" x14ac:dyDescent="0.2">
      <c r="A264" s="14"/>
      <c r="B264" s="38"/>
      <c r="D264" s="5" t="e">
        <f>VLOOKUP(B264,price!A:B,4,0)</f>
        <v>#N/A</v>
      </c>
    </row>
    <row r="265" spans="1:4" x14ac:dyDescent="0.2">
      <c r="A265" s="14"/>
      <c r="B265" s="38"/>
      <c r="D265" s="5" t="e">
        <f>VLOOKUP(B265,price!A:B,4,0)</f>
        <v>#N/A</v>
      </c>
    </row>
    <row r="266" spans="1:4" x14ac:dyDescent="0.2">
      <c r="A266" s="14"/>
      <c r="B266" s="38"/>
      <c r="D266" s="5" t="e">
        <f>VLOOKUP(B266,price!A:B,4,0)</f>
        <v>#N/A</v>
      </c>
    </row>
    <row r="267" spans="1:4" x14ac:dyDescent="0.2">
      <c r="A267" s="14"/>
      <c r="B267" s="38"/>
      <c r="D267" s="5" t="e">
        <f>VLOOKUP(B267,price!A:B,4,0)</f>
        <v>#N/A</v>
      </c>
    </row>
    <row r="268" spans="1:4" x14ac:dyDescent="0.2">
      <c r="A268" s="14"/>
      <c r="B268" s="38"/>
      <c r="D268" s="5" t="e">
        <f>VLOOKUP(B268,price!A:B,4,0)</f>
        <v>#N/A</v>
      </c>
    </row>
    <row r="269" spans="1:4" x14ac:dyDescent="0.2">
      <c r="A269" s="14"/>
      <c r="B269" s="38"/>
      <c r="D269" s="5" t="e">
        <f>VLOOKUP(B269,price!A:B,4,0)</f>
        <v>#N/A</v>
      </c>
    </row>
    <row r="270" spans="1:4" x14ac:dyDescent="0.2">
      <c r="A270" s="14"/>
      <c r="B270" s="38"/>
      <c r="D270" s="5" t="e">
        <f>VLOOKUP(B270,price!A:B,4,0)</f>
        <v>#N/A</v>
      </c>
    </row>
    <row r="271" spans="1:4" x14ac:dyDescent="0.2">
      <c r="A271" s="14"/>
      <c r="B271" s="38"/>
      <c r="D271" s="5" t="e">
        <f>VLOOKUP(B271,price!A:B,4,0)</f>
        <v>#N/A</v>
      </c>
    </row>
    <row r="272" spans="1:4" x14ac:dyDescent="0.2">
      <c r="A272" s="14"/>
      <c r="B272" s="38"/>
      <c r="D272" s="5" t="e">
        <f>VLOOKUP(B272,price!A:B,4,0)</f>
        <v>#N/A</v>
      </c>
    </row>
    <row r="273" spans="1:4" x14ac:dyDescent="0.2">
      <c r="A273" s="14"/>
      <c r="B273" s="38"/>
      <c r="D273" s="5" t="e">
        <f>VLOOKUP(B273,price!A:B,4,0)</f>
        <v>#N/A</v>
      </c>
    </row>
    <row r="274" spans="1:4" x14ac:dyDescent="0.2">
      <c r="A274" s="14"/>
      <c r="B274" s="38"/>
      <c r="D274" s="5" t="e">
        <f>VLOOKUP(B274,price!A:B,4,0)</f>
        <v>#N/A</v>
      </c>
    </row>
    <row r="275" spans="1:4" x14ac:dyDescent="0.2">
      <c r="A275" s="14"/>
      <c r="B275" s="38"/>
      <c r="D275" s="5" t="e">
        <f>VLOOKUP(B275,price!A:B,4,0)</f>
        <v>#N/A</v>
      </c>
    </row>
    <row r="276" spans="1:4" x14ac:dyDescent="0.2">
      <c r="A276" s="14"/>
      <c r="B276" s="38"/>
      <c r="D276" s="5" t="e">
        <f>VLOOKUP(B276,price!A:B,4,0)</f>
        <v>#N/A</v>
      </c>
    </row>
    <row r="277" spans="1:4" x14ac:dyDescent="0.2">
      <c r="A277" s="14"/>
      <c r="B277" s="38"/>
      <c r="D277" s="5" t="e">
        <f>VLOOKUP(B277,price!A:B,4,0)</f>
        <v>#N/A</v>
      </c>
    </row>
    <row r="278" spans="1:4" x14ac:dyDescent="0.2">
      <c r="A278" s="14"/>
      <c r="B278" s="38"/>
      <c r="D278" s="5" t="e">
        <f>VLOOKUP(B278,price!A:B,4,0)</f>
        <v>#N/A</v>
      </c>
    </row>
    <row r="279" spans="1:4" x14ac:dyDescent="0.2">
      <c r="A279" s="14"/>
      <c r="B279" s="38"/>
      <c r="D279" s="5" t="e">
        <f>VLOOKUP(B279,price!A:B,4,0)</f>
        <v>#N/A</v>
      </c>
    </row>
    <row r="280" spans="1:4" x14ac:dyDescent="0.2">
      <c r="A280" s="14"/>
      <c r="B280" s="38"/>
      <c r="D280" s="5" t="e">
        <f>VLOOKUP(B280,price!A:B,4,0)</f>
        <v>#N/A</v>
      </c>
    </row>
    <row r="281" spans="1:4" x14ac:dyDescent="0.2">
      <c r="A281" s="14"/>
      <c r="B281" s="38"/>
      <c r="D281" s="5" t="e">
        <f>VLOOKUP(B281,price!A:B,4,0)</f>
        <v>#N/A</v>
      </c>
    </row>
    <row r="282" spans="1:4" x14ac:dyDescent="0.2">
      <c r="A282" s="14"/>
      <c r="B282" s="38"/>
      <c r="D282" s="5" t="e">
        <f>VLOOKUP(B282,price!A:B,4,0)</f>
        <v>#N/A</v>
      </c>
    </row>
    <row r="283" spans="1:4" x14ac:dyDescent="0.2">
      <c r="A283" s="14"/>
      <c r="B283" s="38"/>
      <c r="D283" s="5" t="e">
        <f>VLOOKUP(B283,price!A:B,4,0)</f>
        <v>#N/A</v>
      </c>
    </row>
    <row r="284" spans="1:4" x14ac:dyDescent="0.2">
      <c r="A284" s="14"/>
      <c r="B284" s="38"/>
      <c r="D284" s="5" t="e">
        <f>VLOOKUP(B284,price!A:B,4,0)</f>
        <v>#N/A</v>
      </c>
    </row>
    <row r="285" spans="1:4" x14ac:dyDescent="0.2">
      <c r="A285" s="14"/>
      <c r="B285" s="38"/>
      <c r="D285" s="5" t="e">
        <f>VLOOKUP(B285,price!A:B,4,0)</f>
        <v>#N/A</v>
      </c>
    </row>
    <row r="286" spans="1:4" x14ac:dyDescent="0.2">
      <c r="A286" s="14"/>
      <c r="B286" s="38"/>
      <c r="D286" s="5" t="e">
        <f>VLOOKUP(B286,price!A:B,4,0)</f>
        <v>#N/A</v>
      </c>
    </row>
    <row r="287" spans="1:4" x14ac:dyDescent="0.2">
      <c r="A287" s="14"/>
      <c r="B287" s="38"/>
      <c r="D287" s="5" t="e">
        <f>VLOOKUP(B287,price!A:B,4,0)</f>
        <v>#N/A</v>
      </c>
    </row>
    <row r="288" spans="1:4" x14ac:dyDescent="0.2">
      <c r="A288" s="14"/>
      <c r="B288" s="38"/>
      <c r="D288" s="5" t="e">
        <f>VLOOKUP(B288,price!A:B,4,0)</f>
        <v>#N/A</v>
      </c>
    </row>
    <row r="289" spans="1:4" x14ac:dyDescent="0.2">
      <c r="A289" s="14"/>
      <c r="B289" s="38"/>
      <c r="D289" s="5" t="e">
        <f>VLOOKUP(B289,price!A:B,4,0)</f>
        <v>#N/A</v>
      </c>
    </row>
    <row r="290" spans="1:4" x14ac:dyDescent="0.2">
      <c r="A290" s="14"/>
      <c r="B290" s="38"/>
      <c r="D290" s="5" t="e">
        <f>VLOOKUP(B290,price!A:B,4,0)</f>
        <v>#N/A</v>
      </c>
    </row>
    <row r="291" spans="1:4" x14ac:dyDescent="0.2">
      <c r="A291" s="14"/>
      <c r="B291" s="38"/>
      <c r="D291" s="5" t="e">
        <f>VLOOKUP(B291,price!A:B,4,0)</f>
        <v>#N/A</v>
      </c>
    </row>
    <row r="292" spans="1:4" x14ac:dyDescent="0.2">
      <c r="A292" s="14"/>
      <c r="B292" s="38"/>
      <c r="D292" s="5" t="e">
        <f>VLOOKUP(B292,price!A:B,4,0)</f>
        <v>#N/A</v>
      </c>
    </row>
    <row r="293" spans="1:4" x14ac:dyDescent="0.2">
      <c r="A293" s="14"/>
      <c r="B293" s="38"/>
      <c r="D293" s="5" t="e">
        <f>VLOOKUP(B293,price!A:B,4,0)</f>
        <v>#N/A</v>
      </c>
    </row>
    <row r="294" spans="1:4" x14ac:dyDescent="0.2">
      <c r="A294" s="14"/>
      <c r="B294" s="38"/>
      <c r="D294" s="5" t="e">
        <f>VLOOKUP(B294,price!A:B,4,0)</f>
        <v>#N/A</v>
      </c>
    </row>
    <row r="295" spans="1:4" x14ac:dyDescent="0.2">
      <c r="A295" s="14"/>
      <c r="B295" s="38"/>
      <c r="D295" s="5" t="e">
        <f>VLOOKUP(B295,price!A:B,4,0)</f>
        <v>#N/A</v>
      </c>
    </row>
    <row r="296" spans="1:4" x14ac:dyDescent="0.2">
      <c r="A296" s="14"/>
      <c r="B296" s="38"/>
      <c r="D296" s="5" t="e">
        <f>VLOOKUP(B296,price!A:B,4,0)</f>
        <v>#N/A</v>
      </c>
    </row>
    <row r="297" spans="1:4" x14ac:dyDescent="0.2">
      <c r="A297" s="14"/>
      <c r="B297" s="38"/>
      <c r="D297" s="5" t="e">
        <f>VLOOKUP(B297,price!A:B,4,0)</f>
        <v>#N/A</v>
      </c>
    </row>
    <row r="298" spans="1:4" x14ac:dyDescent="0.2">
      <c r="A298" s="14"/>
      <c r="B298" s="38"/>
      <c r="D298" s="5" t="e">
        <f>VLOOKUP(B298,price!A:B,4,0)</f>
        <v>#N/A</v>
      </c>
    </row>
    <row r="299" spans="1:4" x14ac:dyDescent="0.2">
      <c r="A299" s="14"/>
      <c r="B299" s="38"/>
      <c r="D299" s="5" t="e">
        <f>VLOOKUP(B299,price!A:B,4,0)</f>
        <v>#N/A</v>
      </c>
    </row>
    <row r="300" spans="1:4" x14ac:dyDescent="0.2">
      <c r="A300" s="14"/>
      <c r="B300" s="38"/>
      <c r="D300" s="5" t="e">
        <f>VLOOKUP(B300,price!A:B,4,0)</f>
        <v>#N/A</v>
      </c>
    </row>
    <row r="301" spans="1:4" x14ac:dyDescent="0.2">
      <c r="A301" s="14"/>
      <c r="B301" s="38"/>
      <c r="D301" s="5" t="e">
        <f>VLOOKUP(B301,price!A:B,4,0)</f>
        <v>#N/A</v>
      </c>
    </row>
    <row r="302" spans="1:4" x14ac:dyDescent="0.2">
      <c r="A302" s="14"/>
      <c r="B302" s="38"/>
      <c r="D302" s="5" t="e">
        <f>VLOOKUP(B302,price!A:B,4,0)</f>
        <v>#N/A</v>
      </c>
    </row>
    <row r="303" spans="1:4" x14ac:dyDescent="0.2">
      <c r="A303" s="14"/>
      <c r="B303" s="38"/>
      <c r="D303" s="5" t="e">
        <f>VLOOKUP(B303,price!A:B,4,0)</f>
        <v>#N/A</v>
      </c>
    </row>
    <row r="304" spans="1:4" x14ac:dyDescent="0.2">
      <c r="A304" s="14"/>
      <c r="B304" s="38"/>
      <c r="D304" s="5" t="e">
        <f>VLOOKUP(B304,price!A:B,4,0)</f>
        <v>#N/A</v>
      </c>
    </row>
    <row r="305" spans="1:4" x14ac:dyDescent="0.2">
      <c r="A305" s="14"/>
      <c r="B305" s="38"/>
      <c r="D305" s="5" t="e">
        <f>VLOOKUP(B305,price!A:B,4,0)</f>
        <v>#N/A</v>
      </c>
    </row>
    <row r="306" spans="1:4" x14ac:dyDescent="0.2">
      <c r="A306" s="14"/>
      <c r="B306" s="38"/>
      <c r="D306" s="5" t="e">
        <f>VLOOKUP(B306,price!A:B,4,0)</f>
        <v>#N/A</v>
      </c>
    </row>
    <row r="307" spans="1:4" x14ac:dyDescent="0.2">
      <c r="A307" s="14"/>
      <c r="B307" s="38"/>
      <c r="D307" s="5" t="e">
        <f>VLOOKUP(B307,price!A:B,4,0)</f>
        <v>#N/A</v>
      </c>
    </row>
    <row r="308" spans="1:4" x14ac:dyDescent="0.2">
      <c r="A308" s="14"/>
      <c r="B308" s="38"/>
      <c r="D308" s="5" t="e">
        <f>VLOOKUP(B308,price!A:B,4,0)</f>
        <v>#N/A</v>
      </c>
    </row>
    <row r="309" spans="1:4" x14ac:dyDescent="0.2">
      <c r="A309" s="14"/>
      <c r="B309" s="38"/>
      <c r="D309" s="5" t="e">
        <f>VLOOKUP(B309,price!A:B,4,0)</f>
        <v>#N/A</v>
      </c>
    </row>
    <row r="310" spans="1:4" x14ac:dyDescent="0.2">
      <c r="A310" s="14"/>
      <c r="B310" s="38"/>
      <c r="D310" s="5" t="e">
        <f>VLOOKUP(B310,price!A:B,4,0)</f>
        <v>#N/A</v>
      </c>
    </row>
    <row r="311" spans="1:4" x14ac:dyDescent="0.2">
      <c r="A311" s="14"/>
      <c r="B311" s="38"/>
      <c r="D311" s="5" t="e">
        <f>VLOOKUP(B311,price!A:B,4,0)</f>
        <v>#N/A</v>
      </c>
    </row>
    <row r="312" spans="1:4" x14ac:dyDescent="0.2">
      <c r="A312" s="14"/>
      <c r="B312" s="38"/>
      <c r="D312" s="5" t="e">
        <f>VLOOKUP(B312,price!A:B,4,0)</f>
        <v>#N/A</v>
      </c>
    </row>
    <row r="313" spans="1:4" x14ac:dyDescent="0.2">
      <c r="A313" s="14"/>
      <c r="B313" s="38"/>
      <c r="D313" s="5" t="e">
        <f>VLOOKUP(B313,price!A:B,4,0)</f>
        <v>#N/A</v>
      </c>
    </row>
    <row r="314" spans="1:4" x14ac:dyDescent="0.2">
      <c r="A314" s="14"/>
      <c r="B314" s="38"/>
      <c r="D314" s="5" t="e">
        <f>VLOOKUP(B314,price!A:B,4,0)</f>
        <v>#N/A</v>
      </c>
    </row>
    <row r="315" spans="1:4" x14ac:dyDescent="0.2">
      <c r="A315" s="14"/>
      <c r="B315" s="38"/>
      <c r="D315" s="5" t="e">
        <f>VLOOKUP(B315,price!A:B,4,0)</f>
        <v>#N/A</v>
      </c>
    </row>
    <row r="316" spans="1:4" x14ac:dyDescent="0.2">
      <c r="A316" s="14"/>
      <c r="B316" s="38"/>
      <c r="D316" s="5" t="e">
        <f>VLOOKUP(B316,price!A:B,4,0)</f>
        <v>#N/A</v>
      </c>
    </row>
    <row r="317" spans="1:4" x14ac:dyDescent="0.2">
      <c r="A317" s="14"/>
      <c r="B317" s="38"/>
      <c r="D317" s="5" t="e">
        <f>VLOOKUP(B317,price!A:B,4,0)</f>
        <v>#N/A</v>
      </c>
    </row>
    <row r="318" spans="1:4" x14ac:dyDescent="0.2">
      <c r="A318" s="14"/>
      <c r="B318" s="38"/>
      <c r="D318" s="5" t="e">
        <f>VLOOKUP(B318,price!A:B,4,0)</f>
        <v>#N/A</v>
      </c>
    </row>
    <row r="319" spans="1:4" x14ac:dyDescent="0.2">
      <c r="A319" s="14"/>
      <c r="B319" s="38"/>
      <c r="D319" s="5" t="e">
        <f>VLOOKUP(B319,price!A:B,4,0)</f>
        <v>#N/A</v>
      </c>
    </row>
    <row r="320" spans="1:4" x14ac:dyDescent="0.2">
      <c r="A320" s="14"/>
      <c r="B320" s="38"/>
      <c r="D320" s="5" t="e">
        <f>VLOOKUP(B320,price!A:B,4,0)</f>
        <v>#N/A</v>
      </c>
    </row>
    <row r="321" spans="1:4" x14ac:dyDescent="0.2">
      <c r="A321" s="14"/>
      <c r="B321" s="38"/>
      <c r="D321" s="5" t="e">
        <f>VLOOKUP(B321,price!A:B,4,0)</f>
        <v>#N/A</v>
      </c>
    </row>
    <row r="322" spans="1:4" x14ac:dyDescent="0.2">
      <c r="A322" s="14"/>
      <c r="B322" s="42"/>
      <c r="D322" s="5" t="e">
        <f>VLOOKUP(B322,price!A:B,4,0)</f>
        <v>#N/A</v>
      </c>
    </row>
    <row r="323" spans="1:4" x14ac:dyDescent="0.2">
      <c r="A323" s="14"/>
      <c r="B323" s="38"/>
      <c r="D323" s="5" t="e">
        <f>VLOOKUP(B323,price!A:B,4,0)</f>
        <v>#N/A</v>
      </c>
    </row>
    <row r="324" spans="1:4" x14ac:dyDescent="0.2">
      <c r="A324" s="14"/>
      <c r="B324" s="38"/>
      <c r="D324" s="5" t="e">
        <f>VLOOKUP(B324,price!A:B,4,0)</f>
        <v>#N/A</v>
      </c>
    </row>
    <row r="325" spans="1:4" x14ac:dyDescent="0.2">
      <c r="A325" s="14"/>
      <c r="B325" s="38"/>
      <c r="D325" s="5" t="e">
        <f>VLOOKUP(B325,price!A:B,4,0)</f>
        <v>#N/A</v>
      </c>
    </row>
    <row r="326" spans="1:4" x14ac:dyDescent="0.2">
      <c r="A326" s="14"/>
      <c r="B326" s="38"/>
      <c r="D326" s="5" t="e">
        <f>VLOOKUP(B326,price!A:B,4,0)</f>
        <v>#N/A</v>
      </c>
    </row>
    <row r="327" spans="1:4" x14ac:dyDescent="0.2">
      <c r="A327" s="14"/>
      <c r="B327" s="38"/>
      <c r="D327" s="5" t="e">
        <f>VLOOKUP(B327,price!A:B,4,0)</f>
        <v>#N/A</v>
      </c>
    </row>
    <row r="328" spans="1:4" x14ac:dyDescent="0.2">
      <c r="A328" s="14"/>
      <c r="B328" s="38"/>
      <c r="D328" s="5" t="e">
        <f>VLOOKUP(B328,price!A:B,4,0)</f>
        <v>#N/A</v>
      </c>
    </row>
    <row r="329" spans="1:4" x14ac:dyDescent="0.2">
      <c r="A329" s="14"/>
      <c r="B329" s="38"/>
      <c r="D329" s="5" t="e">
        <f>VLOOKUP(B329,price!A:B,4,0)</f>
        <v>#N/A</v>
      </c>
    </row>
    <row r="330" spans="1:4" x14ac:dyDescent="0.2">
      <c r="A330" s="14"/>
      <c r="B330" s="38"/>
      <c r="D330" s="5" t="e">
        <f>VLOOKUP(B330,price!A:B,4,0)</f>
        <v>#N/A</v>
      </c>
    </row>
    <row r="331" spans="1:4" x14ac:dyDescent="0.2">
      <c r="A331" s="14"/>
      <c r="B331" s="38"/>
      <c r="D331" s="5" t="e">
        <f>VLOOKUP(B331,price!A:B,4,0)</f>
        <v>#N/A</v>
      </c>
    </row>
    <row r="332" spans="1:4" x14ac:dyDescent="0.2">
      <c r="A332" s="14"/>
      <c r="B332" s="43"/>
      <c r="D332" s="5" t="e">
        <f>VLOOKUP(B332,price!A:B,4,0)</f>
        <v>#N/A</v>
      </c>
    </row>
    <row r="333" spans="1:4" x14ac:dyDescent="0.2">
      <c r="A333" s="14"/>
      <c r="B333" s="43"/>
      <c r="D333" s="5" t="e">
        <f>VLOOKUP(B333,price!A:B,4,0)</f>
        <v>#N/A</v>
      </c>
    </row>
    <row r="334" spans="1:4" x14ac:dyDescent="0.2">
      <c r="A334" s="14"/>
      <c r="D334" s="5" t="e">
        <f>VLOOKUP(B334,price!A:B,4,0)</f>
        <v>#N/A</v>
      </c>
    </row>
    <row r="335" spans="1:4" x14ac:dyDescent="0.2">
      <c r="A335" s="14"/>
      <c r="D335" s="5" t="e">
        <f>VLOOKUP(B335,price!A:B,4,0)</f>
        <v>#N/A</v>
      </c>
    </row>
    <row r="336" spans="1:4" x14ac:dyDescent="0.2">
      <c r="A336" s="14"/>
      <c r="D336" s="5" t="e">
        <f>VLOOKUP(B336,price!A:B,4,0)</f>
        <v>#N/A</v>
      </c>
    </row>
    <row r="337" spans="1:4" x14ac:dyDescent="0.2">
      <c r="A337" s="14"/>
      <c r="D337" s="5" t="e">
        <f>VLOOKUP(B337,price!A:B,4,0)</f>
        <v>#N/A</v>
      </c>
    </row>
    <row r="338" spans="1:4" x14ac:dyDescent="0.2">
      <c r="A338" s="14"/>
      <c r="B338" s="39"/>
      <c r="D338" s="5" t="e">
        <f>VLOOKUP(B338,price!A:B,4,0)</f>
        <v>#N/A</v>
      </c>
    </row>
    <row r="339" spans="1:4" x14ac:dyDescent="0.2">
      <c r="A339" s="14"/>
      <c r="D339" s="5" t="e">
        <f>VLOOKUP(B339,price!A:B,4,0)</f>
        <v>#N/A</v>
      </c>
    </row>
    <row r="340" spans="1:4" x14ac:dyDescent="0.2">
      <c r="A340" s="14"/>
      <c r="D340" s="5" t="e">
        <f>VLOOKUP(B340,price!A:B,4,0)</f>
        <v>#N/A</v>
      </c>
    </row>
    <row r="341" spans="1:4" x14ac:dyDescent="0.2">
      <c r="A341" s="14"/>
      <c r="D341" s="5" t="e">
        <f>VLOOKUP(B341,price!A:B,4,0)</f>
        <v>#N/A</v>
      </c>
    </row>
    <row r="342" spans="1:4" x14ac:dyDescent="0.2">
      <c r="A342" s="14"/>
      <c r="D342" s="5" t="e">
        <f>VLOOKUP(B342,price!A:B,4,0)</f>
        <v>#N/A</v>
      </c>
    </row>
    <row r="343" spans="1:4" x14ac:dyDescent="0.2">
      <c r="A343" s="14"/>
      <c r="D343" s="5" t="e">
        <f>VLOOKUP(B343,price!A:B,4,0)</f>
        <v>#N/A</v>
      </c>
    </row>
    <row r="344" spans="1:4" x14ac:dyDescent="0.2">
      <c r="A344" s="14"/>
      <c r="D344" s="5" t="e">
        <f>VLOOKUP(B344,price!A:B,4,0)</f>
        <v>#N/A</v>
      </c>
    </row>
    <row r="345" spans="1:4" x14ac:dyDescent="0.2">
      <c r="A345" s="14"/>
      <c r="D345" s="5" t="e">
        <f>VLOOKUP(B345,price!A:B,4,0)</f>
        <v>#N/A</v>
      </c>
    </row>
    <row r="346" spans="1:4" x14ac:dyDescent="0.2">
      <c r="A346" s="14"/>
      <c r="D346" s="5" t="e">
        <f>VLOOKUP(B346,price!A:B,4,0)</f>
        <v>#N/A</v>
      </c>
    </row>
    <row r="347" spans="1:4" x14ac:dyDescent="0.2">
      <c r="A347" s="14"/>
      <c r="D347" s="5" t="e">
        <f>VLOOKUP(B347,price!A:B,4,0)</f>
        <v>#N/A</v>
      </c>
    </row>
    <row r="348" spans="1:4" x14ac:dyDescent="0.2">
      <c r="A348" s="14"/>
      <c r="B348" s="39"/>
      <c r="D348" s="5" t="e">
        <f>VLOOKUP(B348,price!A:B,4,0)</f>
        <v>#N/A</v>
      </c>
    </row>
    <row r="349" spans="1:4" x14ac:dyDescent="0.2">
      <c r="A349" s="14"/>
      <c r="D349" s="5" t="e">
        <f>VLOOKUP(B349,price!A:B,4,0)</f>
        <v>#N/A</v>
      </c>
    </row>
    <row r="350" spans="1:4" x14ac:dyDescent="0.2">
      <c r="A350" s="14"/>
      <c r="D350" s="5" t="e">
        <f>VLOOKUP(B350,price!A:B,4,0)</f>
        <v>#N/A</v>
      </c>
    </row>
    <row r="351" spans="1:4" x14ac:dyDescent="0.2">
      <c r="A351" s="14"/>
      <c r="D351" s="5" t="e">
        <f>VLOOKUP(B351,price!A:B,4,0)</f>
        <v>#N/A</v>
      </c>
    </row>
    <row r="352" spans="1:4" x14ac:dyDescent="0.2">
      <c r="A352" s="14"/>
      <c r="D352" s="5" t="e">
        <f>VLOOKUP(B352,price!A:B,4,0)</f>
        <v>#N/A</v>
      </c>
    </row>
    <row r="353" spans="1:4" x14ac:dyDescent="0.2">
      <c r="A353" s="14"/>
      <c r="D353" s="5" t="e">
        <f>VLOOKUP(B353,price!A:B,4,0)</f>
        <v>#N/A</v>
      </c>
    </row>
    <row r="354" spans="1:4" x14ac:dyDescent="0.2">
      <c r="A354" s="14"/>
      <c r="B354" s="39"/>
      <c r="D354" s="5" t="e">
        <f>VLOOKUP(B354,price!A:B,4,0)</f>
        <v>#N/A</v>
      </c>
    </row>
    <row r="355" spans="1:4" x14ac:dyDescent="0.2">
      <c r="A355" s="14"/>
      <c r="B355" s="39"/>
      <c r="D355" s="5" t="e">
        <f>VLOOKUP(B355,price!A:B,4,0)</f>
        <v>#N/A</v>
      </c>
    </row>
    <row r="356" spans="1:4" x14ac:dyDescent="0.2">
      <c r="A356" s="14"/>
      <c r="B356" s="39"/>
      <c r="D356" s="5" t="e">
        <f>VLOOKUP(B356,price!A:B,4,0)</f>
        <v>#N/A</v>
      </c>
    </row>
    <row r="357" spans="1:4" x14ac:dyDescent="0.2">
      <c r="A357" s="14"/>
      <c r="D357" s="5" t="e">
        <f>VLOOKUP(B357,price!A:B,4,0)</f>
        <v>#N/A</v>
      </c>
    </row>
    <row r="358" spans="1:4" x14ac:dyDescent="0.2">
      <c r="A358" s="14"/>
      <c r="D358" s="5" t="e">
        <f>VLOOKUP(B358,price!A:B,4,0)</f>
        <v>#N/A</v>
      </c>
    </row>
    <row r="359" spans="1:4" x14ac:dyDescent="0.2">
      <c r="A359" s="14"/>
      <c r="B359" s="39"/>
      <c r="D359" s="5" t="e">
        <f>VLOOKUP(B359,price!A:B,4,0)</f>
        <v>#N/A</v>
      </c>
    </row>
    <row r="360" spans="1:4" x14ac:dyDescent="0.2">
      <c r="A360" s="14"/>
      <c r="B360" s="39"/>
      <c r="D360" s="5" t="e">
        <f>VLOOKUP(B360,price!A:B,4,0)</f>
        <v>#N/A</v>
      </c>
    </row>
    <row r="361" spans="1:4" x14ac:dyDescent="0.2">
      <c r="A361" s="14"/>
      <c r="B361" s="39"/>
      <c r="D361" s="5" t="e">
        <f>VLOOKUP(B361,price!A:B,4,0)</f>
        <v>#N/A</v>
      </c>
    </row>
    <row r="362" spans="1:4" x14ac:dyDescent="0.2">
      <c r="A362" s="14"/>
      <c r="D362" s="5" t="e">
        <f>VLOOKUP(B362,price!A:B,4,0)</f>
        <v>#N/A</v>
      </c>
    </row>
    <row r="363" spans="1:4" x14ac:dyDescent="0.2">
      <c r="A363" s="14"/>
      <c r="D363" s="5" t="e">
        <f>VLOOKUP(B363,price!A:B,4,0)</f>
        <v>#N/A</v>
      </c>
    </row>
    <row r="364" spans="1:4" x14ac:dyDescent="0.2">
      <c r="A364" s="14"/>
      <c r="D364" s="5" t="e">
        <f>VLOOKUP(B364,price!A:B,4,0)</f>
        <v>#N/A</v>
      </c>
    </row>
    <row r="365" spans="1:4" x14ac:dyDescent="0.2">
      <c r="A365" s="14"/>
      <c r="D365" s="5" t="e">
        <f>VLOOKUP(B365,price!A:B,4,0)</f>
        <v>#N/A</v>
      </c>
    </row>
    <row r="366" spans="1:4" x14ac:dyDescent="0.2">
      <c r="A366" s="14"/>
      <c r="D366" s="5" t="e">
        <f>VLOOKUP(B366,price!A:B,4,0)</f>
        <v>#N/A</v>
      </c>
    </row>
    <row r="367" spans="1:4" x14ac:dyDescent="0.2">
      <c r="A367" s="14"/>
      <c r="D367" s="5" t="e">
        <f>VLOOKUP(B367,price!A:B,4,0)</f>
        <v>#N/A</v>
      </c>
    </row>
    <row r="368" spans="1:4" x14ac:dyDescent="0.2">
      <c r="A368" s="14"/>
      <c r="D368" s="5" t="e">
        <f>VLOOKUP(B368,price!A:B,4,0)</f>
        <v>#N/A</v>
      </c>
    </row>
    <row r="369" spans="1:4" x14ac:dyDescent="0.2">
      <c r="A369" s="14"/>
      <c r="D369" s="5" t="e">
        <f>VLOOKUP(B369,price!A:B,4,0)</f>
        <v>#N/A</v>
      </c>
    </row>
    <row r="370" spans="1:4" x14ac:dyDescent="0.2">
      <c r="A370" s="14"/>
      <c r="D370" s="5" t="e">
        <f>VLOOKUP(B370,price!A:B,4,0)</f>
        <v>#N/A</v>
      </c>
    </row>
    <row r="371" spans="1:4" x14ac:dyDescent="0.2">
      <c r="A371" s="14"/>
      <c r="D371" s="5" t="e">
        <f>VLOOKUP(B371,price!A:B,4,0)</f>
        <v>#N/A</v>
      </c>
    </row>
    <row r="372" spans="1:4" x14ac:dyDescent="0.2">
      <c r="A372" s="14"/>
      <c r="D372" s="5" t="e">
        <f>VLOOKUP(B372,price!A:B,4,0)</f>
        <v>#N/A</v>
      </c>
    </row>
    <row r="373" spans="1:4" x14ac:dyDescent="0.2">
      <c r="A373" s="14"/>
      <c r="D373" s="5" t="e">
        <f>VLOOKUP(B373,price!A:B,4,0)</f>
        <v>#N/A</v>
      </c>
    </row>
    <row r="374" spans="1:4" x14ac:dyDescent="0.2">
      <c r="A374" s="15"/>
      <c r="D374" s="5" t="e">
        <f>VLOOKUP(B374,price!A:B,4,0)</f>
        <v>#N/A</v>
      </c>
    </row>
    <row r="375" spans="1:4" x14ac:dyDescent="0.2">
      <c r="A375" s="16"/>
      <c r="B375" s="39"/>
      <c r="D375" s="5" t="e">
        <f>VLOOKUP(B375,price!A:B,4,0)</f>
        <v>#N/A</v>
      </c>
    </row>
    <row r="376" spans="1:4" x14ac:dyDescent="0.2">
      <c r="D376" s="5" t="e">
        <f>VLOOKUP(B376,price!A:B,4,0)</f>
        <v>#N/A</v>
      </c>
    </row>
    <row r="377" spans="1:4" x14ac:dyDescent="0.2">
      <c r="D377" s="5" t="e">
        <f>VLOOKUP(B377,price!A:B,4,0)</f>
        <v>#N/A</v>
      </c>
    </row>
    <row r="378" spans="1:4" x14ac:dyDescent="0.2">
      <c r="D378" s="5" t="e">
        <f>VLOOKUP(B378,price!A:B,4,0)</f>
        <v>#N/A</v>
      </c>
    </row>
    <row r="379" spans="1:4" x14ac:dyDescent="0.2">
      <c r="D379" s="5" t="e">
        <f>VLOOKUP(B379,price!A:B,4,0)</f>
        <v>#N/A</v>
      </c>
    </row>
    <row r="380" spans="1:4" x14ac:dyDescent="0.2">
      <c r="D380" s="5" t="e">
        <f>VLOOKUP(B380,price!A:B,4,0)</f>
        <v>#N/A</v>
      </c>
    </row>
    <row r="381" spans="1:4" x14ac:dyDescent="0.2">
      <c r="D381" s="5" t="e">
        <f>VLOOKUP(B381,price!A:B,4,0)</f>
        <v>#N/A</v>
      </c>
    </row>
    <row r="382" spans="1:4" x14ac:dyDescent="0.2">
      <c r="D382" s="5" t="e">
        <f>VLOOKUP(B382,price!A:B,4,0)</f>
        <v>#N/A</v>
      </c>
    </row>
    <row r="383" spans="1:4" x14ac:dyDescent="0.2">
      <c r="D383" s="5" t="e">
        <f>VLOOKUP(B383,price!A:B,4,0)</f>
        <v>#N/A</v>
      </c>
    </row>
    <row r="384" spans="1:4" x14ac:dyDescent="0.2">
      <c r="D384" s="5" t="e">
        <f>VLOOKUP(B384,price!A:B,4,0)</f>
        <v>#N/A</v>
      </c>
    </row>
    <row r="385" spans="2:4" x14ac:dyDescent="0.2">
      <c r="D385" s="5" t="e">
        <f>VLOOKUP(B385,price!A:B,4,0)</f>
        <v>#N/A</v>
      </c>
    </row>
    <row r="386" spans="2:4" x14ac:dyDescent="0.2">
      <c r="D386" s="5" t="e">
        <f>VLOOKUP(B386,price!A:B,4,0)</f>
        <v>#N/A</v>
      </c>
    </row>
    <row r="387" spans="2:4" x14ac:dyDescent="0.2">
      <c r="D387" s="5" t="e">
        <f>VLOOKUP(B387,price!A:B,4,0)</f>
        <v>#N/A</v>
      </c>
    </row>
    <row r="388" spans="2:4" x14ac:dyDescent="0.2">
      <c r="D388" s="5" t="e">
        <f>VLOOKUP(B388,price!A:B,4,0)</f>
        <v>#N/A</v>
      </c>
    </row>
    <row r="389" spans="2:4" x14ac:dyDescent="0.2">
      <c r="D389" s="5" t="e">
        <f>VLOOKUP(B389,price!A:B,4,0)</f>
        <v>#N/A</v>
      </c>
    </row>
    <row r="390" spans="2:4" x14ac:dyDescent="0.2">
      <c r="D390" s="5" t="e">
        <f>VLOOKUP(B390,price!A:B,4,0)</f>
        <v>#N/A</v>
      </c>
    </row>
    <row r="391" spans="2:4" x14ac:dyDescent="0.2">
      <c r="D391" s="5" t="e">
        <f>VLOOKUP(B391,price!A:B,4,0)</f>
        <v>#N/A</v>
      </c>
    </row>
    <row r="392" spans="2:4" x14ac:dyDescent="0.2">
      <c r="D392" s="5" t="e">
        <f>VLOOKUP(B392,price!A:B,4,0)</f>
        <v>#N/A</v>
      </c>
    </row>
    <row r="393" spans="2:4" x14ac:dyDescent="0.2">
      <c r="D393" s="5" t="e">
        <f>VLOOKUP(B393,price!A:B,4,0)</f>
        <v>#N/A</v>
      </c>
    </row>
    <row r="394" spans="2:4" x14ac:dyDescent="0.2">
      <c r="D394" s="5" t="e">
        <f>VLOOKUP(B394,price!A:B,4,0)</f>
        <v>#N/A</v>
      </c>
    </row>
    <row r="395" spans="2:4" x14ac:dyDescent="0.2">
      <c r="B395" s="39"/>
      <c r="D395" s="5" t="e">
        <f>VLOOKUP(B395,price!A:B,4,0)</f>
        <v>#N/A</v>
      </c>
    </row>
    <row r="396" spans="2:4" x14ac:dyDescent="0.2">
      <c r="D396" s="5" t="e">
        <f>VLOOKUP(B396,price!A:B,4,0)</f>
        <v>#N/A</v>
      </c>
    </row>
    <row r="397" spans="2:4" x14ac:dyDescent="0.2">
      <c r="D397" s="5" t="e">
        <f>VLOOKUP(B397,price!A:B,4,0)</f>
        <v>#N/A</v>
      </c>
    </row>
    <row r="398" spans="2:4" x14ac:dyDescent="0.2">
      <c r="D398" s="5" t="e">
        <f>VLOOKUP(B398,price!A:B,4,0)</f>
        <v>#N/A</v>
      </c>
    </row>
    <row r="399" spans="2:4" x14ac:dyDescent="0.2">
      <c r="D399" s="5" t="e">
        <f>VLOOKUP(B399,price!A:B,4,0)</f>
        <v>#N/A</v>
      </c>
    </row>
    <row r="400" spans="2:4" x14ac:dyDescent="0.2">
      <c r="D400" s="5" t="e">
        <f>VLOOKUP(B400,price!A:B,4,0)</f>
        <v>#N/A</v>
      </c>
    </row>
    <row r="401" spans="2:4" x14ac:dyDescent="0.2">
      <c r="D401" s="5" t="e">
        <f>VLOOKUP(B401,price!A:B,4,0)</f>
        <v>#N/A</v>
      </c>
    </row>
    <row r="402" spans="2:4" x14ac:dyDescent="0.2">
      <c r="D402" s="5" t="e">
        <f>VLOOKUP(B402,price!A:B,4,0)</f>
        <v>#N/A</v>
      </c>
    </row>
    <row r="403" spans="2:4" x14ac:dyDescent="0.2">
      <c r="D403" s="5" t="e">
        <f>VLOOKUP(B403,price!A:B,4,0)</f>
        <v>#N/A</v>
      </c>
    </row>
    <row r="404" spans="2:4" x14ac:dyDescent="0.2">
      <c r="D404" s="5" t="e">
        <f>VLOOKUP(B404,price!A:B,4,0)</f>
        <v>#N/A</v>
      </c>
    </row>
    <row r="405" spans="2:4" x14ac:dyDescent="0.2">
      <c r="D405" s="5" t="e">
        <f>VLOOKUP(B405,price!A:B,4,0)</f>
        <v>#N/A</v>
      </c>
    </row>
    <row r="406" spans="2:4" x14ac:dyDescent="0.2">
      <c r="D406" s="5" t="e">
        <f>VLOOKUP(B406,price!A:B,4,0)</f>
        <v>#N/A</v>
      </c>
    </row>
    <row r="407" spans="2:4" x14ac:dyDescent="0.2">
      <c r="D407" s="5" t="e">
        <f>VLOOKUP(B407,price!A:B,4,0)</f>
        <v>#N/A</v>
      </c>
    </row>
    <row r="408" spans="2:4" x14ac:dyDescent="0.2">
      <c r="D408" s="5" t="e">
        <f>VLOOKUP(B408,price!A:B,4,0)</f>
        <v>#N/A</v>
      </c>
    </row>
    <row r="409" spans="2:4" x14ac:dyDescent="0.2">
      <c r="D409" s="5" t="e">
        <f>VLOOKUP(B409,price!A:B,4,0)</f>
        <v>#N/A</v>
      </c>
    </row>
    <row r="410" spans="2:4" x14ac:dyDescent="0.2">
      <c r="D410" s="5" t="e">
        <f>VLOOKUP(B410,price!A:B,4,0)</f>
        <v>#N/A</v>
      </c>
    </row>
    <row r="411" spans="2:4" x14ac:dyDescent="0.2">
      <c r="D411" s="5" t="e">
        <f>VLOOKUP(B411,price!A:B,4,0)</f>
        <v>#N/A</v>
      </c>
    </row>
    <row r="412" spans="2:4" x14ac:dyDescent="0.2">
      <c r="D412" s="5" t="e">
        <f>VLOOKUP(B412,price!A:B,4,0)</f>
        <v>#N/A</v>
      </c>
    </row>
    <row r="413" spans="2:4" x14ac:dyDescent="0.2">
      <c r="D413" s="5" t="e">
        <f>VLOOKUP(B413,price!A:B,4,0)</f>
        <v>#N/A</v>
      </c>
    </row>
    <row r="414" spans="2:4" x14ac:dyDescent="0.2">
      <c r="D414" s="5" t="e">
        <f>VLOOKUP(B414,price!A:B,4,0)</f>
        <v>#N/A</v>
      </c>
    </row>
    <row r="415" spans="2:4" x14ac:dyDescent="0.2">
      <c r="D415" s="5" t="e">
        <f>VLOOKUP(B415,price!A:B,4,0)</f>
        <v>#N/A</v>
      </c>
    </row>
    <row r="416" spans="2:4" x14ac:dyDescent="0.2">
      <c r="B416" s="39"/>
      <c r="D416" s="5" t="e">
        <f>VLOOKUP(B416,price!A:B,4,0)</f>
        <v>#N/A</v>
      </c>
    </row>
    <row r="417" spans="2:4" x14ac:dyDescent="0.2">
      <c r="D417" s="5" t="e">
        <f>VLOOKUP(B417,price!A:B,4,0)</f>
        <v>#N/A</v>
      </c>
    </row>
    <row r="418" spans="2:4" x14ac:dyDescent="0.2">
      <c r="B418" s="39"/>
      <c r="D418" s="5" t="e">
        <f>VLOOKUP(B418,price!A:B,4,0)</f>
        <v>#N/A</v>
      </c>
    </row>
    <row r="419" spans="2:4" x14ac:dyDescent="0.2">
      <c r="B419" s="39"/>
      <c r="D419" s="5" t="e">
        <f>VLOOKUP(B419,price!A:B,4,0)</f>
        <v>#N/A</v>
      </c>
    </row>
    <row r="420" spans="2:4" x14ac:dyDescent="0.2">
      <c r="B420" s="39"/>
      <c r="D420" s="5" t="e">
        <f>VLOOKUP(B420,price!A:B,4,0)</f>
        <v>#N/A</v>
      </c>
    </row>
    <row r="421" spans="2:4" x14ac:dyDescent="0.2">
      <c r="B421" s="1"/>
      <c r="D421" s="5" t="e">
        <f>VLOOKUP(B421,price!A:B,4,0)</f>
        <v>#N/A</v>
      </c>
    </row>
    <row r="422" spans="2:4" x14ac:dyDescent="0.2">
      <c r="B422" s="1"/>
      <c r="D422" s="5" t="e">
        <f>VLOOKUP(B422,price!A:B,4,0)</f>
        <v>#N/A</v>
      </c>
    </row>
    <row r="423" spans="2:4" x14ac:dyDescent="0.2">
      <c r="B423" s="7"/>
      <c r="D423" s="5" t="e">
        <f>VLOOKUP(B423,price!A:B,4,0)</f>
        <v>#N/A</v>
      </c>
    </row>
    <row r="424" spans="2:4" x14ac:dyDescent="0.2">
      <c r="D424" s="5" t="e">
        <f>VLOOKUP(B424,price!A:B,4,0)</f>
        <v>#N/A</v>
      </c>
    </row>
    <row r="425" spans="2:4" x14ac:dyDescent="0.2">
      <c r="B425" s="7"/>
      <c r="D425" s="5" t="e">
        <f>VLOOKUP(B425,price!A:B,4,0)</f>
        <v>#N/A</v>
      </c>
    </row>
    <row r="426" spans="2:4" x14ac:dyDescent="0.2">
      <c r="D426" s="5" t="e">
        <f>VLOOKUP(B426,price!A:B,4,0)</f>
        <v>#N/A</v>
      </c>
    </row>
    <row r="427" spans="2:4" x14ac:dyDescent="0.2">
      <c r="D427" s="5" t="e">
        <f>VLOOKUP(B427,price!A:B,4,0)</f>
        <v>#N/A</v>
      </c>
    </row>
    <row r="428" spans="2:4" x14ac:dyDescent="0.2">
      <c r="D428" s="5" t="e">
        <f>VLOOKUP(B428,price!A:B,4,0)</f>
        <v>#N/A</v>
      </c>
    </row>
    <row r="429" spans="2:4" x14ac:dyDescent="0.2">
      <c r="D429" s="5" t="e">
        <f>VLOOKUP(B429,price!A:B,4,0)</f>
        <v>#N/A</v>
      </c>
    </row>
    <row r="430" spans="2:4" x14ac:dyDescent="0.2">
      <c r="B430" s="1"/>
      <c r="D430" s="5" t="e">
        <f>VLOOKUP(B430,price!A:B,4,0)</f>
        <v>#N/A</v>
      </c>
    </row>
    <row r="431" spans="2:4" x14ac:dyDescent="0.2">
      <c r="B431" s="1"/>
      <c r="D431" s="5" t="e">
        <f>VLOOKUP(B431,price!A:B,4,0)</f>
        <v>#N/A</v>
      </c>
    </row>
    <row r="432" spans="2:4" x14ac:dyDescent="0.2">
      <c r="D432" s="5" t="e">
        <f>VLOOKUP(B432,price!A:B,4,0)</f>
        <v>#N/A</v>
      </c>
    </row>
    <row r="433" spans="4:4" x14ac:dyDescent="0.2">
      <c r="D433" s="5" t="e">
        <f>VLOOKUP(B433,price!A:B,4,0)</f>
        <v>#N/A</v>
      </c>
    </row>
    <row r="434" spans="4:4" x14ac:dyDescent="0.2">
      <c r="D434" s="5" t="e">
        <f>VLOOKUP(B434,price!A:B,4,0)</f>
        <v>#N/A</v>
      </c>
    </row>
    <row r="435" spans="4:4" x14ac:dyDescent="0.2">
      <c r="D435" s="5" t="e">
        <f>VLOOKUP(B435,price!A:B,4,0)</f>
        <v>#N/A</v>
      </c>
    </row>
    <row r="436" spans="4:4" x14ac:dyDescent="0.2">
      <c r="D436" s="5" t="e">
        <f>VLOOKUP(B436,price!A:B,4,0)</f>
        <v>#N/A</v>
      </c>
    </row>
    <row r="437" spans="4:4" x14ac:dyDescent="0.2">
      <c r="D437" s="5" t="e">
        <f>VLOOKUP(B437,price!A:B,4,0)</f>
        <v>#N/A</v>
      </c>
    </row>
    <row r="438" spans="4:4" x14ac:dyDescent="0.2">
      <c r="D438" s="5" t="e">
        <f>VLOOKUP(B438,price!A:B,4,0)</f>
        <v>#N/A</v>
      </c>
    </row>
    <row r="439" spans="4:4" x14ac:dyDescent="0.2">
      <c r="D439" s="5" t="e">
        <f>VLOOKUP(B439,price!A:B,4,0)</f>
        <v>#N/A</v>
      </c>
    </row>
    <row r="440" spans="4:4" x14ac:dyDescent="0.2">
      <c r="D440" s="5" t="e">
        <f>VLOOKUP(B440,price!A:B,4,0)</f>
        <v>#N/A</v>
      </c>
    </row>
    <row r="441" spans="4:4" x14ac:dyDescent="0.2">
      <c r="D441" s="5" t="e">
        <f>VLOOKUP(B441,price!A:B,4,0)</f>
        <v>#N/A</v>
      </c>
    </row>
    <row r="442" spans="4:4" x14ac:dyDescent="0.2">
      <c r="D442" s="5" t="e">
        <f>VLOOKUP(B442,price!A:B,4,0)</f>
        <v>#N/A</v>
      </c>
    </row>
    <row r="443" spans="4:4" x14ac:dyDescent="0.2">
      <c r="D443" s="5" t="e">
        <f>VLOOKUP(B443,price!A:B,4,0)</f>
        <v>#N/A</v>
      </c>
    </row>
    <row r="444" spans="4:4" x14ac:dyDescent="0.2">
      <c r="D444" s="5" t="e">
        <f>VLOOKUP(B444,price!A:B,4,0)</f>
        <v>#N/A</v>
      </c>
    </row>
    <row r="445" spans="4:4" x14ac:dyDescent="0.2">
      <c r="D445" s="5" t="e">
        <f>VLOOKUP(B445,price!A:B,4,0)</f>
        <v>#N/A</v>
      </c>
    </row>
    <row r="446" spans="4:4" x14ac:dyDescent="0.2">
      <c r="D446" s="5" t="e">
        <f>VLOOKUP(B446,price!A:B,4,0)</f>
        <v>#N/A</v>
      </c>
    </row>
    <row r="447" spans="4:4" x14ac:dyDescent="0.2">
      <c r="D447" s="5" t="e">
        <f>VLOOKUP(B447,price!A:B,4,0)</f>
        <v>#N/A</v>
      </c>
    </row>
    <row r="448" spans="4:4" x14ac:dyDescent="0.2">
      <c r="D448" s="5" t="e">
        <f>VLOOKUP(B448,price!A:B,4,0)</f>
        <v>#N/A</v>
      </c>
    </row>
    <row r="449" spans="4:4" x14ac:dyDescent="0.2">
      <c r="D449" s="5" t="e">
        <f>VLOOKUP(B449,price!A:B,4,0)</f>
        <v>#N/A</v>
      </c>
    </row>
    <row r="450" spans="4:4" x14ac:dyDescent="0.2">
      <c r="D450" s="5" t="e">
        <f>VLOOKUP(B450,price!A:B,4,0)</f>
        <v>#N/A</v>
      </c>
    </row>
    <row r="451" spans="4:4" x14ac:dyDescent="0.2">
      <c r="D451" s="5" t="e">
        <f>VLOOKUP(B451,price!A:B,4,0)</f>
        <v>#N/A</v>
      </c>
    </row>
    <row r="452" spans="4:4" x14ac:dyDescent="0.2">
      <c r="D452" s="5" t="e">
        <f>VLOOKUP(B452,price!A:B,4,0)</f>
        <v>#N/A</v>
      </c>
    </row>
    <row r="453" spans="4:4" x14ac:dyDescent="0.2">
      <c r="D453" s="5" t="e">
        <f>VLOOKUP(B453,price!A:B,4,0)</f>
        <v>#N/A</v>
      </c>
    </row>
    <row r="454" spans="4:4" x14ac:dyDescent="0.2">
      <c r="D454" s="5" t="e">
        <f>VLOOKUP(B454,price!A:B,4,0)</f>
        <v>#N/A</v>
      </c>
    </row>
    <row r="455" spans="4:4" x14ac:dyDescent="0.2">
      <c r="D455" s="5" t="e">
        <f>VLOOKUP(B455,price!A:B,4,0)</f>
        <v>#N/A</v>
      </c>
    </row>
    <row r="456" spans="4:4" x14ac:dyDescent="0.2">
      <c r="D456" s="5" t="e">
        <f>VLOOKUP(B456,price!A:B,4,0)</f>
        <v>#N/A</v>
      </c>
    </row>
    <row r="457" spans="4:4" x14ac:dyDescent="0.2">
      <c r="D457" s="5" t="e">
        <f>VLOOKUP(B457,price!A:B,4,0)</f>
        <v>#N/A</v>
      </c>
    </row>
    <row r="458" spans="4:4" x14ac:dyDescent="0.2">
      <c r="D458" s="5" t="e">
        <f>VLOOKUP(B458,price!A:B,4,0)</f>
        <v>#N/A</v>
      </c>
    </row>
    <row r="459" spans="4:4" x14ac:dyDescent="0.2">
      <c r="D459" s="5" t="e">
        <f>VLOOKUP(B459,price!A:B,4,0)</f>
        <v>#N/A</v>
      </c>
    </row>
    <row r="460" spans="4:4" x14ac:dyDescent="0.2">
      <c r="D460" s="5" t="e">
        <f>VLOOKUP(B460,price!A:B,4,0)</f>
        <v>#N/A</v>
      </c>
    </row>
    <row r="461" spans="4:4" x14ac:dyDescent="0.2">
      <c r="D461" s="5" t="e">
        <f>VLOOKUP(B461,price!A:B,4,0)</f>
        <v>#N/A</v>
      </c>
    </row>
    <row r="462" spans="4:4" x14ac:dyDescent="0.2">
      <c r="D462" s="5" t="e">
        <f>VLOOKUP(B462,price!A:B,4,0)</f>
        <v>#N/A</v>
      </c>
    </row>
    <row r="463" spans="4:4" x14ac:dyDescent="0.2">
      <c r="D463" s="5" t="e">
        <f>VLOOKUP(B463,price!A:B,4,0)</f>
        <v>#N/A</v>
      </c>
    </row>
    <row r="464" spans="4:4" x14ac:dyDescent="0.2">
      <c r="D464" s="5" t="e">
        <f>VLOOKUP(B464,price!A:B,4,0)</f>
        <v>#N/A</v>
      </c>
    </row>
    <row r="465" spans="2:4" x14ac:dyDescent="0.2">
      <c r="D465" s="5" t="e">
        <f>VLOOKUP(B465,price!A:B,4,0)</f>
        <v>#N/A</v>
      </c>
    </row>
    <row r="466" spans="2:4" x14ac:dyDescent="0.2">
      <c r="D466" s="5" t="e">
        <f>VLOOKUP(B466,price!A:B,4,0)</f>
        <v>#N/A</v>
      </c>
    </row>
    <row r="467" spans="2:4" x14ac:dyDescent="0.2">
      <c r="D467" s="5" t="e">
        <f>VLOOKUP(B467,price!A:B,4,0)</f>
        <v>#N/A</v>
      </c>
    </row>
    <row r="468" spans="2:4" x14ac:dyDescent="0.2">
      <c r="D468" s="5" t="e">
        <f>VLOOKUP(B468,price!A:B,4,0)</f>
        <v>#N/A</v>
      </c>
    </row>
    <row r="469" spans="2:4" x14ac:dyDescent="0.2">
      <c r="D469" s="5" t="e">
        <f>VLOOKUP(B469,price!A:B,4,0)</f>
        <v>#N/A</v>
      </c>
    </row>
    <row r="470" spans="2:4" x14ac:dyDescent="0.2">
      <c r="D470" s="5" t="e">
        <f>VLOOKUP(B470,price!A:B,4,0)</f>
        <v>#N/A</v>
      </c>
    </row>
    <row r="471" spans="2:4" x14ac:dyDescent="0.2">
      <c r="B471" s="38"/>
      <c r="D471" s="5" t="e">
        <f>VLOOKUP(B471,price!A:B,4,0)</f>
        <v>#N/A</v>
      </c>
    </row>
    <row r="472" spans="2:4" x14ac:dyDescent="0.2">
      <c r="B472" s="38"/>
      <c r="D472" s="5" t="e">
        <f>VLOOKUP(B472,price!A:B,4,0)</f>
        <v>#N/A</v>
      </c>
    </row>
    <row r="473" spans="2:4" x14ac:dyDescent="0.2">
      <c r="B473" s="38"/>
      <c r="D473" s="5" t="e">
        <f>VLOOKUP(B473,price!A:B,4,0)</f>
        <v>#N/A</v>
      </c>
    </row>
    <row r="474" spans="2:4" x14ac:dyDescent="0.2">
      <c r="B474" s="38"/>
      <c r="D474" s="5" t="e">
        <f>VLOOKUP(B474,price!A:B,4,0)</f>
        <v>#N/A</v>
      </c>
    </row>
    <row r="475" spans="2:4" x14ac:dyDescent="0.2">
      <c r="B475" s="38"/>
      <c r="D475" s="5" t="e">
        <f>VLOOKUP(B475,price!A:B,4,0)</f>
        <v>#N/A</v>
      </c>
    </row>
    <row r="476" spans="2:4" x14ac:dyDescent="0.2">
      <c r="B476" s="38"/>
      <c r="D476" s="5" t="e">
        <f>VLOOKUP(B476,price!A:B,4,0)</f>
        <v>#N/A</v>
      </c>
    </row>
    <row r="477" spans="2:4" x14ac:dyDescent="0.2">
      <c r="B477" s="38"/>
      <c r="D477" s="5" t="e">
        <f>VLOOKUP(B477,price!A:B,4,0)</f>
        <v>#N/A</v>
      </c>
    </row>
    <row r="478" spans="2:4" x14ac:dyDescent="0.2">
      <c r="B478" s="38"/>
      <c r="D478" s="5" t="e">
        <f>VLOOKUP(B478,price!A:B,4,0)</f>
        <v>#N/A</v>
      </c>
    </row>
    <row r="479" spans="2:4" x14ac:dyDescent="0.2">
      <c r="B479" s="38"/>
      <c r="D479" s="5" t="e">
        <f>VLOOKUP(B479,price!A:B,4,0)</f>
        <v>#N/A</v>
      </c>
    </row>
    <row r="480" spans="2:4" x14ac:dyDescent="0.2">
      <c r="B480" s="38"/>
      <c r="D480" s="5" t="e">
        <f>VLOOKUP(B480,price!A:B,4,0)</f>
        <v>#N/A</v>
      </c>
    </row>
    <row r="481" spans="2:4" x14ac:dyDescent="0.2">
      <c r="B481" s="38"/>
      <c r="D481" s="5" t="e">
        <f>VLOOKUP(B481,price!A:B,4,0)</f>
        <v>#N/A</v>
      </c>
    </row>
    <row r="482" spans="2:4" x14ac:dyDescent="0.2">
      <c r="B482" s="38"/>
      <c r="D482" s="5" t="e">
        <f>VLOOKUP(B482,price!A:B,4,0)</f>
        <v>#N/A</v>
      </c>
    </row>
    <row r="483" spans="2:4" x14ac:dyDescent="0.2">
      <c r="B483" s="38"/>
      <c r="D483" s="5" t="e">
        <f>VLOOKUP(B483,price!A:B,4,0)</f>
        <v>#N/A</v>
      </c>
    </row>
    <row r="484" spans="2:4" x14ac:dyDescent="0.2">
      <c r="B484" s="38"/>
      <c r="D484" s="5" t="e">
        <f>VLOOKUP(B484,price!A:B,4,0)</f>
        <v>#N/A</v>
      </c>
    </row>
    <row r="485" spans="2:4" x14ac:dyDescent="0.2">
      <c r="B485" s="38"/>
      <c r="D485" s="5" t="e">
        <f>VLOOKUP(B485,price!A:B,4,0)</f>
        <v>#N/A</v>
      </c>
    </row>
    <row r="486" spans="2:4" x14ac:dyDescent="0.2">
      <c r="B486" s="38"/>
      <c r="D486" s="5" t="e">
        <f>VLOOKUP(B486,price!A:B,4,0)</f>
        <v>#N/A</v>
      </c>
    </row>
    <row r="487" spans="2:4" x14ac:dyDescent="0.2">
      <c r="B487" s="38"/>
      <c r="D487" s="5" t="e">
        <f>VLOOKUP(B487,price!A:B,4,0)</f>
        <v>#N/A</v>
      </c>
    </row>
    <row r="488" spans="2:4" x14ac:dyDescent="0.2">
      <c r="B488" s="38"/>
      <c r="D488" s="5" t="e">
        <f>VLOOKUP(B488,price!A:B,4,0)</f>
        <v>#N/A</v>
      </c>
    </row>
    <row r="489" spans="2:4" x14ac:dyDescent="0.2">
      <c r="B489" s="38"/>
      <c r="D489" s="5" t="e">
        <f>VLOOKUP(B489,price!A:B,4,0)</f>
        <v>#N/A</v>
      </c>
    </row>
    <row r="490" spans="2:4" x14ac:dyDescent="0.2">
      <c r="B490" s="38"/>
      <c r="D490" s="5" t="e">
        <f>VLOOKUP(B490,price!A:B,4,0)</f>
        <v>#N/A</v>
      </c>
    </row>
    <row r="491" spans="2:4" x14ac:dyDescent="0.2">
      <c r="B491" s="38"/>
      <c r="D491" s="5" t="e">
        <f>VLOOKUP(B491,price!A:B,4,0)</f>
        <v>#N/A</v>
      </c>
    </row>
    <row r="492" spans="2:4" x14ac:dyDescent="0.2">
      <c r="B492" s="38"/>
      <c r="D492" s="5" t="e">
        <f>VLOOKUP(B492,price!A:B,4,0)</f>
        <v>#N/A</v>
      </c>
    </row>
    <row r="493" spans="2:4" x14ac:dyDescent="0.2">
      <c r="B493" s="38"/>
      <c r="D493" s="5" t="e">
        <f>VLOOKUP(B493,price!A:B,4,0)</f>
        <v>#N/A</v>
      </c>
    </row>
    <row r="494" spans="2:4" x14ac:dyDescent="0.2">
      <c r="B494" s="38"/>
      <c r="D494" s="5" t="e">
        <f>VLOOKUP(B494,price!A:B,4,0)</f>
        <v>#N/A</v>
      </c>
    </row>
    <row r="495" spans="2:4" x14ac:dyDescent="0.2">
      <c r="B495" s="38"/>
      <c r="D495" s="5" t="e">
        <f>VLOOKUP(B495,price!A:B,4,0)</f>
        <v>#N/A</v>
      </c>
    </row>
    <row r="496" spans="2:4" x14ac:dyDescent="0.2">
      <c r="B496" s="38"/>
      <c r="D496" s="5" t="e">
        <f>VLOOKUP(B496,price!A:B,4,0)</f>
        <v>#N/A</v>
      </c>
    </row>
    <row r="497" spans="2:4" x14ac:dyDescent="0.2">
      <c r="B497" s="38"/>
      <c r="D497" s="5" t="e">
        <f>VLOOKUP(B497,price!A:B,4,0)</f>
        <v>#N/A</v>
      </c>
    </row>
    <row r="498" spans="2:4" x14ac:dyDescent="0.2">
      <c r="B498" s="38"/>
      <c r="D498" s="5" t="e">
        <f>VLOOKUP(B498,price!A:B,4,0)</f>
        <v>#N/A</v>
      </c>
    </row>
    <row r="499" spans="2:4" x14ac:dyDescent="0.2">
      <c r="B499" s="38"/>
      <c r="D499" s="5" t="e">
        <f>VLOOKUP(B499,price!A:B,4,0)</f>
        <v>#N/A</v>
      </c>
    </row>
    <row r="500" spans="2:4" x14ac:dyDescent="0.2">
      <c r="B500" s="38"/>
      <c r="D500" s="5" t="e">
        <f>VLOOKUP(B500,price!A:B,4,0)</f>
        <v>#N/A</v>
      </c>
    </row>
    <row r="501" spans="2:4" x14ac:dyDescent="0.2">
      <c r="B501" s="38"/>
      <c r="D501" s="5" t="e">
        <f>VLOOKUP(B501,price!A:B,4,0)</f>
        <v>#N/A</v>
      </c>
    </row>
    <row r="502" spans="2:4" x14ac:dyDescent="0.2">
      <c r="B502" s="38"/>
      <c r="D502" s="5" t="e">
        <f>VLOOKUP(B502,price!A:B,4,0)</f>
        <v>#N/A</v>
      </c>
    </row>
    <row r="503" spans="2:4" x14ac:dyDescent="0.2">
      <c r="B503" s="38"/>
      <c r="D503" s="5" t="e">
        <f>VLOOKUP(B503,price!A:B,4,0)</f>
        <v>#N/A</v>
      </c>
    </row>
    <row r="504" spans="2:4" x14ac:dyDescent="0.2">
      <c r="B504" s="38"/>
      <c r="D504" s="5" t="e">
        <f>VLOOKUP(B504,price!A:B,4,0)</f>
        <v>#N/A</v>
      </c>
    </row>
    <row r="505" spans="2:4" x14ac:dyDescent="0.2">
      <c r="B505" s="38"/>
      <c r="D505" s="5" t="e">
        <f>VLOOKUP(B505,price!A:B,4,0)</f>
        <v>#N/A</v>
      </c>
    </row>
    <row r="506" spans="2:4" x14ac:dyDescent="0.2">
      <c r="B506" s="38"/>
      <c r="D506" s="5" t="e">
        <f>VLOOKUP(B506,price!A:B,4,0)</f>
        <v>#N/A</v>
      </c>
    </row>
    <row r="507" spans="2:4" x14ac:dyDescent="0.2">
      <c r="B507" s="38"/>
      <c r="D507" s="5" t="e">
        <f>VLOOKUP(B507,price!A:B,4,0)</f>
        <v>#N/A</v>
      </c>
    </row>
    <row r="508" spans="2:4" x14ac:dyDescent="0.2">
      <c r="B508" s="38"/>
      <c r="D508" s="5" t="e">
        <f>VLOOKUP(B508,price!A:B,4,0)</f>
        <v>#N/A</v>
      </c>
    </row>
    <row r="509" spans="2:4" x14ac:dyDescent="0.2">
      <c r="B509" s="38"/>
      <c r="D509" s="5" t="e">
        <f>VLOOKUP(B509,price!A:B,4,0)</f>
        <v>#N/A</v>
      </c>
    </row>
    <row r="510" spans="2:4" x14ac:dyDescent="0.2">
      <c r="B510" s="38"/>
      <c r="D510" s="5" t="e">
        <f>VLOOKUP(B510,price!A:B,4,0)</f>
        <v>#N/A</v>
      </c>
    </row>
    <row r="511" spans="2:4" x14ac:dyDescent="0.2">
      <c r="B511" s="38"/>
      <c r="D511" s="5" t="e">
        <f>VLOOKUP(B511,price!A:B,4,0)</f>
        <v>#N/A</v>
      </c>
    </row>
    <row r="512" spans="2:4" x14ac:dyDescent="0.2">
      <c r="B512" s="38"/>
      <c r="D512" s="5" t="e">
        <f>VLOOKUP(B512,price!A:B,4,0)</f>
        <v>#N/A</v>
      </c>
    </row>
    <row r="513" spans="2:4" x14ac:dyDescent="0.2">
      <c r="B513" s="38"/>
      <c r="D513" s="5" t="e">
        <f>VLOOKUP(B513,price!A:B,4,0)</f>
        <v>#N/A</v>
      </c>
    </row>
    <row r="514" spans="2:4" x14ac:dyDescent="0.2">
      <c r="B514" s="38"/>
      <c r="D514" s="5" t="e">
        <f>VLOOKUP(B514,price!A:B,4,0)</f>
        <v>#N/A</v>
      </c>
    </row>
    <row r="515" spans="2:4" x14ac:dyDescent="0.2">
      <c r="B515" s="38"/>
      <c r="D515" s="5" t="e">
        <f>VLOOKUP(B515,price!A:B,4,0)</f>
        <v>#N/A</v>
      </c>
    </row>
    <row r="516" spans="2:4" x14ac:dyDescent="0.2">
      <c r="B516" s="38"/>
      <c r="D516" s="5" t="e">
        <f>VLOOKUP(B516,price!A:B,4,0)</f>
        <v>#N/A</v>
      </c>
    </row>
    <row r="517" spans="2:4" x14ac:dyDescent="0.2">
      <c r="B517" s="38"/>
      <c r="D517" s="5" t="e">
        <f>VLOOKUP(B517,price!A:B,4,0)</f>
        <v>#N/A</v>
      </c>
    </row>
    <row r="518" spans="2:4" x14ac:dyDescent="0.2">
      <c r="B518" s="38"/>
      <c r="D518" s="5" t="e">
        <f>VLOOKUP(B518,price!A:B,4,0)</f>
        <v>#N/A</v>
      </c>
    </row>
    <row r="519" spans="2:4" x14ac:dyDescent="0.2">
      <c r="B519" s="38"/>
      <c r="D519" s="5" t="e">
        <f>VLOOKUP(B519,price!A:B,4,0)</f>
        <v>#N/A</v>
      </c>
    </row>
    <row r="520" spans="2:4" x14ac:dyDescent="0.2">
      <c r="B520" s="38"/>
      <c r="D520" s="5" t="e">
        <f>VLOOKUP(B520,price!A:B,4,0)</f>
        <v>#N/A</v>
      </c>
    </row>
    <row r="521" spans="2:4" x14ac:dyDescent="0.2">
      <c r="B521" s="38"/>
      <c r="D521" s="5" t="e">
        <f>VLOOKUP(B521,price!A:B,4,0)</f>
        <v>#N/A</v>
      </c>
    </row>
    <row r="522" spans="2:4" x14ac:dyDescent="0.2">
      <c r="B522" s="38"/>
      <c r="D522" s="5" t="e">
        <f>VLOOKUP(B522,price!A:B,4,0)</f>
        <v>#N/A</v>
      </c>
    </row>
    <row r="523" spans="2:4" x14ac:dyDescent="0.2">
      <c r="B523" s="38"/>
      <c r="D523" s="5" t="e">
        <f>VLOOKUP(B523,price!A:B,4,0)</f>
        <v>#N/A</v>
      </c>
    </row>
    <row r="524" spans="2:4" x14ac:dyDescent="0.2">
      <c r="B524" s="38"/>
      <c r="D524" s="5" t="e">
        <f>VLOOKUP(B524,price!A:B,4,0)</f>
        <v>#N/A</v>
      </c>
    </row>
    <row r="525" spans="2:4" x14ac:dyDescent="0.2">
      <c r="B525" s="38"/>
      <c r="D525" s="5" t="e">
        <f>VLOOKUP(B525,price!A:B,4,0)</f>
        <v>#N/A</v>
      </c>
    </row>
    <row r="526" spans="2:4" x14ac:dyDescent="0.2">
      <c r="B526" s="38"/>
      <c r="D526" s="5" t="e">
        <f>VLOOKUP(B526,price!A:B,4,0)</f>
        <v>#N/A</v>
      </c>
    </row>
    <row r="527" spans="2:4" x14ac:dyDescent="0.2">
      <c r="B527" s="38"/>
      <c r="D527" s="5" t="e">
        <f>VLOOKUP(B527,price!A:B,4,0)</f>
        <v>#N/A</v>
      </c>
    </row>
    <row r="528" spans="2:4" x14ac:dyDescent="0.2">
      <c r="B528" s="38"/>
      <c r="D528" s="5" t="e">
        <f>VLOOKUP(B528,price!A:B,4,0)</f>
        <v>#N/A</v>
      </c>
    </row>
    <row r="529" spans="2:4" x14ac:dyDescent="0.2">
      <c r="B529" s="38"/>
      <c r="D529" s="5" t="e">
        <f>VLOOKUP(B529,price!A:B,4,0)</f>
        <v>#N/A</v>
      </c>
    </row>
    <row r="530" spans="2:4" x14ac:dyDescent="0.2">
      <c r="B530" s="38"/>
      <c r="D530" s="5" t="e">
        <f>VLOOKUP(B530,price!A:B,4,0)</f>
        <v>#N/A</v>
      </c>
    </row>
    <row r="531" spans="2:4" x14ac:dyDescent="0.2">
      <c r="B531" s="38"/>
      <c r="D531" s="5" t="e">
        <f>VLOOKUP(B531,price!A:B,4,0)</f>
        <v>#N/A</v>
      </c>
    </row>
    <row r="532" spans="2:4" x14ac:dyDescent="0.2">
      <c r="B532" s="38"/>
      <c r="D532" s="5" t="e">
        <f>VLOOKUP(B532,price!A:B,4,0)</f>
        <v>#N/A</v>
      </c>
    </row>
    <row r="533" spans="2:4" x14ac:dyDescent="0.2">
      <c r="B533" s="38"/>
      <c r="D533" s="5" t="e">
        <f>VLOOKUP(B533,price!A:B,4,0)</f>
        <v>#N/A</v>
      </c>
    </row>
    <row r="534" spans="2:4" x14ac:dyDescent="0.2">
      <c r="B534" s="38"/>
      <c r="D534" s="5" t="e">
        <f>VLOOKUP(B534,price!A:B,4,0)</f>
        <v>#N/A</v>
      </c>
    </row>
    <row r="535" spans="2:4" x14ac:dyDescent="0.2">
      <c r="B535" s="38"/>
      <c r="D535" s="5" t="e">
        <f>VLOOKUP(B535,price!A:B,4,0)</f>
        <v>#N/A</v>
      </c>
    </row>
    <row r="536" spans="2:4" x14ac:dyDescent="0.2">
      <c r="B536" s="38"/>
      <c r="D536" s="5" t="e">
        <f>VLOOKUP(B536,price!A:B,4,0)</f>
        <v>#N/A</v>
      </c>
    </row>
    <row r="537" spans="2:4" x14ac:dyDescent="0.2">
      <c r="B537" s="38"/>
      <c r="D537" s="5" t="e">
        <f>VLOOKUP(B537,price!A:B,4,0)</f>
        <v>#N/A</v>
      </c>
    </row>
    <row r="538" spans="2:4" x14ac:dyDescent="0.2">
      <c r="B538" s="38"/>
      <c r="D538" s="5" t="e">
        <f>VLOOKUP(B538,price!A:B,4,0)</f>
        <v>#N/A</v>
      </c>
    </row>
    <row r="539" spans="2:4" x14ac:dyDescent="0.2">
      <c r="B539" s="38"/>
      <c r="D539" s="5" t="e">
        <f>VLOOKUP(B539,price!A:B,4,0)</f>
        <v>#N/A</v>
      </c>
    </row>
    <row r="540" spans="2:4" x14ac:dyDescent="0.2">
      <c r="B540" s="38"/>
      <c r="D540" s="5" t="e">
        <f>VLOOKUP(B540,price!A:B,4,0)</f>
        <v>#N/A</v>
      </c>
    </row>
    <row r="541" spans="2:4" x14ac:dyDescent="0.2">
      <c r="B541" s="38"/>
      <c r="D541" s="5" t="e">
        <f>VLOOKUP(B541,price!A:B,4,0)</f>
        <v>#N/A</v>
      </c>
    </row>
    <row r="542" spans="2:4" x14ac:dyDescent="0.2">
      <c r="B542" s="38"/>
      <c r="D542" s="5" t="e">
        <f>VLOOKUP(B542,price!A:B,4,0)</f>
        <v>#N/A</v>
      </c>
    </row>
    <row r="543" spans="2:4" x14ac:dyDescent="0.2">
      <c r="B543" s="38"/>
      <c r="D543" s="5" t="e">
        <f>VLOOKUP(B543,price!A:B,4,0)</f>
        <v>#N/A</v>
      </c>
    </row>
    <row r="544" spans="2:4" x14ac:dyDescent="0.2">
      <c r="B544" s="38"/>
      <c r="D544" s="5" t="e">
        <f>VLOOKUP(B544,price!A:B,4,0)</f>
        <v>#N/A</v>
      </c>
    </row>
    <row r="545" spans="2:4" x14ac:dyDescent="0.2">
      <c r="B545" s="38"/>
      <c r="D545" s="5" t="e">
        <f>VLOOKUP(B545,price!A:B,4,0)</f>
        <v>#N/A</v>
      </c>
    </row>
    <row r="546" spans="2:4" x14ac:dyDescent="0.2">
      <c r="B546" s="38"/>
      <c r="D546" s="5" t="e">
        <f>VLOOKUP(B546,price!A:B,4,0)</f>
        <v>#N/A</v>
      </c>
    </row>
    <row r="547" spans="2:4" x14ac:dyDescent="0.2">
      <c r="B547" s="38"/>
      <c r="D547" s="5" t="e">
        <f>VLOOKUP(B547,price!A:B,4,0)</f>
        <v>#N/A</v>
      </c>
    </row>
    <row r="548" spans="2:4" x14ac:dyDescent="0.2">
      <c r="B548" s="38"/>
      <c r="D548" s="5" t="e">
        <f>VLOOKUP(B548,price!A:B,4,0)</f>
        <v>#N/A</v>
      </c>
    </row>
    <row r="549" spans="2:4" x14ac:dyDescent="0.2">
      <c r="B549" s="38"/>
      <c r="D549" s="5" t="e">
        <f>VLOOKUP(B549,price!A:B,4,0)</f>
        <v>#N/A</v>
      </c>
    </row>
    <row r="550" spans="2:4" x14ac:dyDescent="0.2">
      <c r="B550" s="38"/>
      <c r="D550" s="5" t="e">
        <f>VLOOKUP(B550,price!A:B,4,0)</f>
        <v>#N/A</v>
      </c>
    </row>
    <row r="551" spans="2:4" x14ac:dyDescent="0.2">
      <c r="B551" s="38"/>
      <c r="D551" s="5" t="e">
        <f>VLOOKUP(B551,price!A:B,4,0)</f>
        <v>#N/A</v>
      </c>
    </row>
    <row r="552" spans="2:4" x14ac:dyDescent="0.2">
      <c r="B552" s="38"/>
      <c r="D552" s="5" t="e">
        <f>VLOOKUP(B552,price!A:B,4,0)</f>
        <v>#N/A</v>
      </c>
    </row>
    <row r="553" spans="2:4" x14ac:dyDescent="0.2">
      <c r="B553" s="38"/>
      <c r="D553" s="5" t="e">
        <f>VLOOKUP(B553,price!A:B,4,0)</f>
        <v>#N/A</v>
      </c>
    </row>
    <row r="554" spans="2:4" x14ac:dyDescent="0.2">
      <c r="B554" s="38"/>
      <c r="D554" s="5" t="e">
        <f>VLOOKUP(B554,price!A:B,4,0)</f>
        <v>#N/A</v>
      </c>
    </row>
    <row r="555" spans="2:4" x14ac:dyDescent="0.2">
      <c r="B555" s="38"/>
      <c r="D555" s="5" t="e">
        <f>VLOOKUP(B555,price!A:B,4,0)</f>
        <v>#N/A</v>
      </c>
    </row>
    <row r="556" spans="2:4" x14ac:dyDescent="0.2">
      <c r="B556" s="38"/>
      <c r="D556" s="5" t="e">
        <f>VLOOKUP(B556,price!A:B,4,0)</f>
        <v>#N/A</v>
      </c>
    </row>
    <row r="557" spans="2:4" x14ac:dyDescent="0.2">
      <c r="B557" s="38"/>
      <c r="D557" s="5" t="e">
        <f>VLOOKUP(B557,price!A:B,4,0)</f>
        <v>#N/A</v>
      </c>
    </row>
    <row r="558" spans="2:4" x14ac:dyDescent="0.2">
      <c r="B558" s="38"/>
      <c r="D558" s="5" t="e">
        <f>VLOOKUP(B558,price!A:B,4,0)</f>
        <v>#N/A</v>
      </c>
    </row>
    <row r="559" spans="2:4" x14ac:dyDescent="0.2">
      <c r="B559" s="38"/>
      <c r="D559" s="5" t="e">
        <f>VLOOKUP(B559,price!A:B,4,0)</f>
        <v>#N/A</v>
      </c>
    </row>
    <row r="560" spans="2:4" x14ac:dyDescent="0.2">
      <c r="B560" s="38"/>
      <c r="D560" s="5" t="e">
        <f>VLOOKUP(B560,price!A:B,4,0)</f>
        <v>#N/A</v>
      </c>
    </row>
    <row r="561" spans="2:4" x14ac:dyDescent="0.2">
      <c r="B561" s="38"/>
      <c r="D561" s="5" t="e">
        <f>VLOOKUP(B561,price!A:B,4,0)</f>
        <v>#N/A</v>
      </c>
    </row>
    <row r="562" spans="2:4" x14ac:dyDescent="0.2">
      <c r="B562" s="38"/>
      <c r="D562" s="5" t="e">
        <f>VLOOKUP(B562,price!A:B,4,0)</f>
        <v>#N/A</v>
      </c>
    </row>
    <row r="563" spans="2:4" x14ac:dyDescent="0.2">
      <c r="B563" s="38"/>
      <c r="D563" s="5" t="e">
        <f>VLOOKUP(B563,price!A:B,4,0)</f>
        <v>#N/A</v>
      </c>
    </row>
    <row r="564" spans="2:4" x14ac:dyDescent="0.2">
      <c r="B564" s="38"/>
      <c r="D564" s="5" t="e">
        <f>VLOOKUP(B564,price!A:B,4,0)</f>
        <v>#N/A</v>
      </c>
    </row>
    <row r="565" spans="2:4" x14ac:dyDescent="0.2">
      <c r="B565" s="38"/>
      <c r="D565" s="5" t="e">
        <f>VLOOKUP(B565,price!A:B,4,0)</f>
        <v>#N/A</v>
      </c>
    </row>
    <row r="566" spans="2:4" x14ac:dyDescent="0.2">
      <c r="B566" s="38"/>
      <c r="D566" s="5" t="e">
        <f>VLOOKUP(B566,price!A:B,4,0)</f>
        <v>#N/A</v>
      </c>
    </row>
    <row r="567" spans="2:4" x14ac:dyDescent="0.2">
      <c r="B567" s="38"/>
      <c r="D567" s="5" t="e">
        <f>VLOOKUP(B567,price!A:B,4,0)</f>
        <v>#N/A</v>
      </c>
    </row>
    <row r="568" spans="2:4" x14ac:dyDescent="0.2">
      <c r="B568" s="38"/>
      <c r="D568" s="5" t="e">
        <f>VLOOKUP(B568,price!A:B,4,0)</f>
        <v>#N/A</v>
      </c>
    </row>
    <row r="569" spans="2:4" x14ac:dyDescent="0.2">
      <c r="B569" s="38"/>
      <c r="D569" s="5" t="e">
        <f>VLOOKUP(B569,price!A:B,4,0)</f>
        <v>#N/A</v>
      </c>
    </row>
    <row r="570" spans="2:4" x14ac:dyDescent="0.2">
      <c r="B570" s="38"/>
      <c r="D570" s="5" t="e">
        <f>VLOOKUP(B570,price!A:B,4,0)</f>
        <v>#N/A</v>
      </c>
    </row>
    <row r="571" spans="2:4" x14ac:dyDescent="0.2">
      <c r="B571" s="38"/>
      <c r="D571" s="5" t="e">
        <f>VLOOKUP(B571,price!A:B,4,0)</f>
        <v>#N/A</v>
      </c>
    </row>
    <row r="572" spans="2:4" x14ac:dyDescent="0.2">
      <c r="B572" s="38"/>
      <c r="D572" s="5" t="e">
        <f>VLOOKUP(B572,price!A:B,4,0)</f>
        <v>#N/A</v>
      </c>
    </row>
    <row r="573" spans="2:4" x14ac:dyDescent="0.2">
      <c r="B573" s="38"/>
      <c r="D573" s="5" t="e">
        <f>VLOOKUP(B573,price!A:B,4,0)</f>
        <v>#N/A</v>
      </c>
    </row>
    <row r="574" spans="2:4" x14ac:dyDescent="0.2">
      <c r="B574" s="38"/>
      <c r="D574" s="5" t="e">
        <f>VLOOKUP(B574,price!A:B,4,0)</f>
        <v>#N/A</v>
      </c>
    </row>
    <row r="575" spans="2:4" x14ac:dyDescent="0.2">
      <c r="B575" s="38"/>
      <c r="D575" s="5" t="e">
        <f>VLOOKUP(B575,price!A:B,4,0)</f>
        <v>#N/A</v>
      </c>
    </row>
    <row r="576" spans="2:4" x14ac:dyDescent="0.2">
      <c r="B576" s="38"/>
      <c r="D576" s="5" t="e">
        <f>VLOOKUP(B576,price!A:B,4,0)</f>
        <v>#N/A</v>
      </c>
    </row>
    <row r="577" spans="2:4" x14ac:dyDescent="0.2">
      <c r="B577" s="38"/>
      <c r="D577" s="5" t="e">
        <f>VLOOKUP(B577,price!A:B,4,0)</f>
        <v>#N/A</v>
      </c>
    </row>
    <row r="578" spans="2:4" x14ac:dyDescent="0.2">
      <c r="B578" s="38"/>
      <c r="D578" s="5" t="e">
        <f>VLOOKUP(B578,price!A:B,4,0)</f>
        <v>#N/A</v>
      </c>
    </row>
    <row r="579" spans="2:4" x14ac:dyDescent="0.2">
      <c r="B579" s="38"/>
      <c r="D579" s="5" t="e">
        <f>VLOOKUP(B579,price!A:B,4,0)</f>
        <v>#N/A</v>
      </c>
    </row>
    <row r="580" spans="2:4" x14ac:dyDescent="0.2">
      <c r="B580" s="38"/>
      <c r="D580" s="5" t="e">
        <f>VLOOKUP(B580,price!A:B,4,0)</f>
        <v>#N/A</v>
      </c>
    </row>
    <row r="581" spans="2:4" x14ac:dyDescent="0.2">
      <c r="B581" s="38"/>
      <c r="D581" s="5" t="e">
        <f>VLOOKUP(B581,price!A:B,4,0)</f>
        <v>#N/A</v>
      </c>
    </row>
    <row r="582" spans="2:4" x14ac:dyDescent="0.2">
      <c r="B582" s="38"/>
      <c r="D582" s="5" t="e">
        <f>VLOOKUP(B582,price!A:B,4,0)</f>
        <v>#N/A</v>
      </c>
    </row>
    <row r="583" spans="2:4" x14ac:dyDescent="0.2">
      <c r="B583" s="38"/>
      <c r="D583" s="5" t="e">
        <f>VLOOKUP(B583,price!A:B,4,0)</f>
        <v>#N/A</v>
      </c>
    </row>
    <row r="584" spans="2:4" x14ac:dyDescent="0.2">
      <c r="B584" s="38"/>
      <c r="D584" s="5" t="e">
        <f>VLOOKUP(B584,price!A:B,4,0)</f>
        <v>#N/A</v>
      </c>
    </row>
    <row r="585" spans="2:4" x14ac:dyDescent="0.2">
      <c r="B585" s="38"/>
      <c r="D585" s="5" t="e">
        <f>VLOOKUP(B585,price!A:B,4,0)</f>
        <v>#N/A</v>
      </c>
    </row>
    <row r="586" spans="2:4" x14ac:dyDescent="0.2">
      <c r="B586" s="38"/>
      <c r="D586" s="5" t="e">
        <f>VLOOKUP(B586,price!A:B,4,0)</f>
        <v>#N/A</v>
      </c>
    </row>
    <row r="587" spans="2:4" x14ac:dyDescent="0.2">
      <c r="B587" s="38"/>
      <c r="D587" s="5" t="e">
        <f>VLOOKUP(B587,price!A:B,4,0)</f>
        <v>#N/A</v>
      </c>
    </row>
    <row r="588" spans="2:4" x14ac:dyDescent="0.2">
      <c r="B588" s="38"/>
      <c r="D588" s="5" t="e">
        <f>VLOOKUP(B588,price!A:B,4,0)</f>
        <v>#N/A</v>
      </c>
    </row>
    <row r="589" spans="2:4" x14ac:dyDescent="0.2">
      <c r="B589" s="38"/>
      <c r="D589" s="5" t="e">
        <f>VLOOKUP(B589,price!A:B,4,0)</f>
        <v>#N/A</v>
      </c>
    </row>
    <row r="590" spans="2:4" x14ac:dyDescent="0.2">
      <c r="B590" s="38"/>
      <c r="D590" s="5" t="e">
        <f>VLOOKUP(B590,price!A:B,4,0)</f>
        <v>#N/A</v>
      </c>
    </row>
    <row r="591" spans="2:4" x14ac:dyDescent="0.2">
      <c r="B591" s="38"/>
      <c r="D591" s="5" t="e">
        <f>VLOOKUP(B591,price!A:B,4,0)</f>
        <v>#N/A</v>
      </c>
    </row>
    <row r="592" spans="2:4" x14ac:dyDescent="0.2">
      <c r="B592" s="38"/>
      <c r="D592" s="5" t="e">
        <f>VLOOKUP(B592,price!A:B,4,0)</f>
        <v>#N/A</v>
      </c>
    </row>
    <row r="593" spans="2:4" x14ac:dyDescent="0.2">
      <c r="B593" s="38"/>
      <c r="D593" s="5" t="e">
        <f>VLOOKUP(B593,price!A:B,4,0)</f>
        <v>#N/A</v>
      </c>
    </row>
    <row r="594" spans="2:4" x14ac:dyDescent="0.2">
      <c r="B594" s="38"/>
      <c r="D594" s="5" t="e">
        <f>VLOOKUP(B594,price!A:B,4,0)</f>
        <v>#N/A</v>
      </c>
    </row>
    <row r="595" spans="2:4" x14ac:dyDescent="0.2">
      <c r="B595" s="38"/>
      <c r="D595" s="5" t="e">
        <f>VLOOKUP(B595,price!A:B,4,0)</f>
        <v>#N/A</v>
      </c>
    </row>
    <row r="596" spans="2:4" x14ac:dyDescent="0.2">
      <c r="B596" s="38"/>
      <c r="D596" s="5" t="e">
        <f>VLOOKUP(B596,price!A:B,4,0)</f>
        <v>#N/A</v>
      </c>
    </row>
    <row r="597" spans="2:4" x14ac:dyDescent="0.2">
      <c r="B597" s="38"/>
      <c r="D597" s="5" t="e">
        <f>VLOOKUP(B597,price!A:B,4,0)</f>
        <v>#N/A</v>
      </c>
    </row>
    <row r="598" spans="2:4" x14ac:dyDescent="0.2">
      <c r="B598" s="38"/>
      <c r="D598" s="5" t="e">
        <f>VLOOKUP(B598,price!A:B,4,0)</f>
        <v>#N/A</v>
      </c>
    </row>
    <row r="599" spans="2:4" x14ac:dyDescent="0.2">
      <c r="B599" s="38"/>
      <c r="D599" s="5" t="e">
        <f>VLOOKUP(B599,price!A:B,4,0)</f>
        <v>#N/A</v>
      </c>
    </row>
    <row r="600" spans="2:4" x14ac:dyDescent="0.2">
      <c r="B600" s="38"/>
      <c r="D600" s="5" t="e">
        <f>VLOOKUP(B600,price!A:B,4,0)</f>
        <v>#N/A</v>
      </c>
    </row>
    <row r="601" spans="2:4" x14ac:dyDescent="0.2">
      <c r="B601" s="38"/>
      <c r="D601" s="5" t="e">
        <f>VLOOKUP(B601,price!A:B,4,0)</f>
        <v>#N/A</v>
      </c>
    </row>
    <row r="602" spans="2:4" x14ac:dyDescent="0.2">
      <c r="B602" s="38"/>
      <c r="D602" s="5" t="e">
        <f>VLOOKUP(B602,price!A:B,4,0)</f>
        <v>#N/A</v>
      </c>
    </row>
    <row r="603" spans="2:4" x14ac:dyDescent="0.2">
      <c r="B603" s="38"/>
      <c r="D603" s="5" t="e">
        <f>VLOOKUP(B603,price!A:B,4,0)</f>
        <v>#N/A</v>
      </c>
    </row>
    <row r="604" spans="2:4" x14ac:dyDescent="0.2">
      <c r="B604" s="38"/>
      <c r="D604" s="5" t="e">
        <f>VLOOKUP(B604,price!A:B,4,0)</f>
        <v>#N/A</v>
      </c>
    </row>
    <row r="605" spans="2:4" x14ac:dyDescent="0.2">
      <c r="B605" s="38"/>
      <c r="D605" s="5" t="e">
        <f>VLOOKUP(B605,price!A:B,4,0)</f>
        <v>#N/A</v>
      </c>
    </row>
    <row r="606" spans="2:4" x14ac:dyDescent="0.2">
      <c r="B606" s="38"/>
      <c r="D606" s="5" t="e">
        <f>VLOOKUP(B606,price!A:B,4,0)</f>
        <v>#N/A</v>
      </c>
    </row>
    <row r="607" spans="2:4" x14ac:dyDescent="0.2">
      <c r="B607" s="38"/>
      <c r="D607" s="5" t="e">
        <f>VLOOKUP(B607,price!A:B,4,0)</f>
        <v>#N/A</v>
      </c>
    </row>
    <row r="608" spans="2:4" x14ac:dyDescent="0.2">
      <c r="B608" s="38"/>
      <c r="D608" s="5" t="e">
        <f>VLOOKUP(B608,price!A:B,4,0)</f>
        <v>#N/A</v>
      </c>
    </row>
    <row r="609" spans="2:4" x14ac:dyDescent="0.2">
      <c r="B609" s="38"/>
      <c r="D609" s="5" t="e">
        <f>VLOOKUP(B609,price!A:B,4,0)</f>
        <v>#N/A</v>
      </c>
    </row>
    <row r="610" spans="2:4" x14ac:dyDescent="0.2">
      <c r="B610" s="38"/>
      <c r="D610" s="5" t="e">
        <f>VLOOKUP(B610,price!A:B,4,0)</f>
        <v>#N/A</v>
      </c>
    </row>
    <row r="611" spans="2:4" x14ac:dyDescent="0.2">
      <c r="B611" s="38"/>
      <c r="D611" s="5" t="e">
        <f>VLOOKUP(B611,price!A:B,4,0)</f>
        <v>#N/A</v>
      </c>
    </row>
    <row r="612" spans="2:4" x14ac:dyDescent="0.2">
      <c r="B612" s="38"/>
      <c r="D612" s="5" t="e">
        <f>VLOOKUP(B612,price!A:B,4,0)</f>
        <v>#N/A</v>
      </c>
    </row>
    <row r="613" spans="2:4" x14ac:dyDescent="0.2">
      <c r="B613" s="38"/>
      <c r="D613" s="5" t="e">
        <f>VLOOKUP(B613,price!A:B,4,0)</f>
        <v>#N/A</v>
      </c>
    </row>
    <row r="614" spans="2:4" x14ac:dyDescent="0.2">
      <c r="B614" s="38"/>
      <c r="D614" s="5" t="e">
        <f>VLOOKUP(B614,price!A:B,4,0)</f>
        <v>#N/A</v>
      </c>
    </row>
    <row r="615" spans="2:4" x14ac:dyDescent="0.2">
      <c r="B615" s="38"/>
      <c r="D615" s="5" t="e">
        <f>VLOOKUP(B615,price!A:B,4,0)</f>
        <v>#N/A</v>
      </c>
    </row>
    <row r="616" spans="2:4" x14ac:dyDescent="0.2">
      <c r="B616" s="38"/>
      <c r="D616" s="5" t="e">
        <f>VLOOKUP(B616,price!A:B,4,0)</f>
        <v>#N/A</v>
      </c>
    </row>
    <row r="617" spans="2:4" x14ac:dyDescent="0.2">
      <c r="B617" s="38"/>
      <c r="D617" s="5" t="e">
        <f>VLOOKUP(B617,price!A:B,4,0)</f>
        <v>#N/A</v>
      </c>
    </row>
    <row r="618" spans="2:4" x14ac:dyDescent="0.2">
      <c r="B618" s="38"/>
      <c r="D618" s="5" t="e">
        <f>VLOOKUP(B618,price!A:B,4,0)</f>
        <v>#N/A</v>
      </c>
    </row>
    <row r="619" spans="2:4" x14ac:dyDescent="0.2">
      <c r="B619" s="38"/>
      <c r="D619" s="5" t="e">
        <f>VLOOKUP(B619,price!A:B,4,0)</f>
        <v>#N/A</v>
      </c>
    </row>
    <row r="620" spans="2:4" x14ac:dyDescent="0.2">
      <c r="B620" s="38"/>
      <c r="D620" s="5" t="e">
        <f>VLOOKUP(B620,price!A:B,4,0)</f>
        <v>#N/A</v>
      </c>
    </row>
    <row r="621" spans="2:4" x14ac:dyDescent="0.2">
      <c r="B621" s="38"/>
      <c r="D621" s="5" t="e">
        <f>VLOOKUP(B621,price!A:B,4,0)</f>
        <v>#N/A</v>
      </c>
    </row>
    <row r="622" spans="2:4" x14ac:dyDescent="0.2">
      <c r="B622" s="39"/>
      <c r="D622" s="5" t="e">
        <f>VLOOKUP(B622,price!A:B,4,0)</f>
        <v>#N/A</v>
      </c>
    </row>
    <row r="623" spans="2:4" x14ac:dyDescent="0.2">
      <c r="B623" s="38"/>
      <c r="D623" s="5" t="e">
        <f>VLOOKUP(B623,price!A:B,4,0)</f>
        <v>#N/A</v>
      </c>
    </row>
    <row r="624" spans="2:4" x14ac:dyDescent="0.2">
      <c r="B624" s="38"/>
      <c r="D624" s="5" t="e">
        <f>VLOOKUP(B624,price!A:B,4,0)</f>
        <v>#N/A</v>
      </c>
    </row>
    <row r="625" spans="2:4" x14ac:dyDescent="0.2">
      <c r="B625" s="38"/>
      <c r="D625" s="5" t="e">
        <f>VLOOKUP(B625,price!A:B,4,0)</f>
        <v>#N/A</v>
      </c>
    </row>
    <row r="626" spans="2:4" x14ac:dyDescent="0.2">
      <c r="B626" s="38"/>
      <c r="D626" s="5" t="e">
        <f>VLOOKUP(B626,price!A:B,4,0)</f>
        <v>#N/A</v>
      </c>
    </row>
    <row r="627" spans="2:4" x14ac:dyDescent="0.2">
      <c r="B627" s="38"/>
      <c r="D627" s="5" t="e">
        <f>VLOOKUP(B627,price!A:B,4,0)</f>
        <v>#N/A</v>
      </c>
    </row>
    <row r="628" spans="2:4" x14ac:dyDescent="0.2">
      <c r="B628" s="38"/>
      <c r="D628" s="5" t="e">
        <f>VLOOKUP(B628,price!A:B,4,0)</f>
        <v>#N/A</v>
      </c>
    </row>
    <row r="629" spans="2:4" x14ac:dyDescent="0.2">
      <c r="B629" s="38"/>
      <c r="D629" s="5" t="e">
        <f>VLOOKUP(B629,price!A:B,4,0)</f>
        <v>#N/A</v>
      </c>
    </row>
    <row r="630" spans="2:4" x14ac:dyDescent="0.2">
      <c r="B630" s="38"/>
      <c r="D630" s="5" t="e">
        <f>VLOOKUP(B630,price!A:B,4,0)</f>
        <v>#N/A</v>
      </c>
    </row>
    <row r="631" spans="2:4" x14ac:dyDescent="0.2">
      <c r="B631" s="38"/>
      <c r="D631" s="5" t="e">
        <f>VLOOKUP(B631,price!A:B,4,0)</f>
        <v>#N/A</v>
      </c>
    </row>
    <row r="632" spans="2:4" x14ac:dyDescent="0.2">
      <c r="B632" s="38"/>
      <c r="D632" s="5" t="e">
        <f>VLOOKUP(B632,price!A:B,4,0)</f>
        <v>#N/A</v>
      </c>
    </row>
    <row r="633" spans="2:4" x14ac:dyDescent="0.2">
      <c r="B633" s="38"/>
      <c r="D633" s="5" t="e">
        <f>VLOOKUP(B633,price!A:B,4,0)</f>
        <v>#N/A</v>
      </c>
    </row>
    <row r="634" spans="2:4" x14ac:dyDescent="0.2">
      <c r="B634" s="38"/>
      <c r="D634" s="5" t="e">
        <f>VLOOKUP(B634,price!A:B,4,0)</f>
        <v>#N/A</v>
      </c>
    </row>
    <row r="635" spans="2:4" x14ac:dyDescent="0.2">
      <c r="B635" s="38"/>
      <c r="D635" s="5" t="e">
        <f>VLOOKUP(B635,price!A:B,4,0)</f>
        <v>#N/A</v>
      </c>
    </row>
    <row r="636" spans="2:4" x14ac:dyDescent="0.2">
      <c r="B636" s="38"/>
      <c r="D636" s="5" t="e">
        <f>VLOOKUP(B636,price!A:B,4,0)</f>
        <v>#N/A</v>
      </c>
    </row>
    <row r="637" spans="2:4" x14ac:dyDescent="0.2">
      <c r="B637" s="38"/>
      <c r="D637" s="5" t="e">
        <f>VLOOKUP(B637,price!A:B,4,0)</f>
        <v>#N/A</v>
      </c>
    </row>
    <row r="638" spans="2:4" x14ac:dyDescent="0.2">
      <c r="B638" s="38"/>
      <c r="D638" s="5" t="e">
        <f>VLOOKUP(B638,price!A:B,4,0)</f>
        <v>#N/A</v>
      </c>
    </row>
    <row r="639" spans="2:4" x14ac:dyDescent="0.2">
      <c r="B639" s="38"/>
      <c r="D639" s="5" t="e">
        <f>VLOOKUP(B639,price!A:B,4,0)</f>
        <v>#N/A</v>
      </c>
    </row>
    <row r="640" spans="2:4" x14ac:dyDescent="0.2">
      <c r="B640" s="38"/>
      <c r="D640" s="5" t="e">
        <f>VLOOKUP(B640,price!A:B,4,0)</f>
        <v>#N/A</v>
      </c>
    </row>
    <row r="641" spans="2:4" x14ac:dyDescent="0.2">
      <c r="B641" s="38"/>
      <c r="D641" s="5" t="e">
        <f>VLOOKUP(B641,price!A:B,4,0)</f>
        <v>#N/A</v>
      </c>
    </row>
    <row r="642" spans="2:4" x14ac:dyDescent="0.2">
      <c r="B642" s="38"/>
      <c r="D642" s="5" t="e">
        <f>VLOOKUP(B642,price!A:B,4,0)</f>
        <v>#N/A</v>
      </c>
    </row>
    <row r="643" spans="2:4" x14ac:dyDescent="0.2">
      <c r="B643" s="38"/>
      <c r="D643" s="5" t="e">
        <f>VLOOKUP(B643,price!A:B,4,0)</f>
        <v>#N/A</v>
      </c>
    </row>
    <row r="644" spans="2:4" x14ac:dyDescent="0.2">
      <c r="B644" s="38"/>
      <c r="D644" s="5" t="e">
        <f>VLOOKUP(B644,price!A:B,4,0)</f>
        <v>#N/A</v>
      </c>
    </row>
    <row r="645" spans="2:4" x14ac:dyDescent="0.2">
      <c r="B645" s="38"/>
      <c r="D645" s="5" t="e">
        <f>VLOOKUP(B645,price!A:B,4,0)</f>
        <v>#N/A</v>
      </c>
    </row>
    <row r="646" spans="2:4" x14ac:dyDescent="0.2">
      <c r="B646" s="38"/>
      <c r="D646" s="5" t="e">
        <f>VLOOKUP(B646,price!A:B,4,0)</f>
        <v>#N/A</v>
      </c>
    </row>
    <row r="647" spans="2:4" x14ac:dyDescent="0.2">
      <c r="B647" s="38"/>
      <c r="D647" s="5" t="e">
        <f>VLOOKUP(B647,price!A:B,4,0)</f>
        <v>#N/A</v>
      </c>
    </row>
    <row r="648" spans="2:4" x14ac:dyDescent="0.2">
      <c r="B648" s="38"/>
      <c r="D648" s="5" t="e">
        <f>VLOOKUP(B648,price!A:B,4,0)</f>
        <v>#N/A</v>
      </c>
    </row>
    <row r="649" spans="2:4" x14ac:dyDescent="0.2">
      <c r="B649" s="38"/>
      <c r="D649" s="5" t="e">
        <f>VLOOKUP(B649,price!A:B,4,0)</f>
        <v>#N/A</v>
      </c>
    </row>
    <row r="650" spans="2:4" x14ac:dyDescent="0.2">
      <c r="B650" s="38"/>
      <c r="D650" s="5" t="e">
        <f>VLOOKUP(B650,price!A:B,4,0)</f>
        <v>#N/A</v>
      </c>
    </row>
    <row r="651" spans="2:4" x14ac:dyDescent="0.2">
      <c r="B651" s="38"/>
      <c r="D651" s="5" t="e">
        <f>VLOOKUP(B651,price!A:B,4,0)</f>
        <v>#N/A</v>
      </c>
    </row>
    <row r="652" spans="2:4" x14ac:dyDescent="0.2">
      <c r="B652" s="38"/>
      <c r="D652" s="5" t="e">
        <f>VLOOKUP(B652,price!A:B,4,0)</f>
        <v>#N/A</v>
      </c>
    </row>
    <row r="653" spans="2:4" x14ac:dyDescent="0.2">
      <c r="B653" s="38"/>
      <c r="D653" s="5" t="e">
        <f>VLOOKUP(B653,price!A:B,4,0)</f>
        <v>#N/A</v>
      </c>
    </row>
    <row r="654" spans="2:4" x14ac:dyDescent="0.2">
      <c r="B654" s="38"/>
      <c r="D654" s="5" t="e">
        <f>VLOOKUP(B654,price!A:B,4,0)</f>
        <v>#N/A</v>
      </c>
    </row>
    <row r="655" spans="2:4" x14ac:dyDescent="0.2">
      <c r="B655" s="38"/>
      <c r="D655" s="5" t="e">
        <f>VLOOKUP(B655,price!A:B,4,0)</f>
        <v>#N/A</v>
      </c>
    </row>
    <row r="656" spans="2:4" x14ac:dyDescent="0.2">
      <c r="B656" s="38"/>
      <c r="D656" s="5" t="e">
        <f>VLOOKUP(B656,price!A:B,4,0)</f>
        <v>#N/A</v>
      </c>
    </row>
    <row r="657" spans="2:4" x14ac:dyDescent="0.2">
      <c r="B657" s="38"/>
      <c r="D657" s="5" t="e">
        <f>VLOOKUP(B657,price!A:B,4,0)</f>
        <v>#N/A</v>
      </c>
    </row>
    <row r="658" spans="2:4" x14ac:dyDescent="0.2">
      <c r="B658" s="38"/>
      <c r="D658" s="5" t="e">
        <f>VLOOKUP(B658,price!A:B,4,0)</f>
        <v>#N/A</v>
      </c>
    </row>
    <row r="659" spans="2:4" x14ac:dyDescent="0.2">
      <c r="B659" s="38"/>
      <c r="D659" s="5" t="e">
        <f>VLOOKUP(B659,price!A:B,4,0)</f>
        <v>#N/A</v>
      </c>
    </row>
    <row r="660" spans="2:4" x14ac:dyDescent="0.2">
      <c r="B660" s="38"/>
      <c r="D660" s="5" t="e">
        <f>VLOOKUP(B660,price!A:B,4,0)</f>
        <v>#N/A</v>
      </c>
    </row>
    <row r="661" spans="2:4" x14ac:dyDescent="0.2">
      <c r="B661" s="38"/>
      <c r="D661" s="5" t="e">
        <f>VLOOKUP(B661,price!A:B,4,0)</f>
        <v>#N/A</v>
      </c>
    </row>
    <row r="662" spans="2:4" x14ac:dyDescent="0.2">
      <c r="B662" s="38"/>
      <c r="D662" s="5" t="e">
        <f>VLOOKUP(B662,price!A:B,4,0)</f>
        <v>#N/A</v>
      </c>
    </row>
    <row r="663" spans="2:4" x14ac:dyDescent="0.2">
      <c r="B663" s="38"/>
      <c r="D663" s="5" t="e">
        <f>VLOOKUP(B663,price!A:B,4,0)</f>
        <v>#N/A</v>
      </c>
    </row>
    <row r="664" spans="2:4" x14ac:dyDescent="0.2">
      <c r="B664" s="38"/>
      <c r="D664" s="5" t="e">
        <f>VLOOKUP(B664,price!A:B,4,0)</f>
        <v>#N/A</v>
      </c>
    </row>
    <row r="665" spans="2:4" x14ac:dyDescent="0.2">
      <c r="B665" s="38"/>
      <c r="D665" s="5" t="e">
        <f>VLOOKUP(B665,price!A:B,4,0)</f>
        <v>#N/A</v>
      </c>
    </row>
    <row r="666" spans="2:4" x14ac:dyDescent="0.2">
      <c r="B666" s="38"/>
      <c r="D666" s="5" t="e">
        <f>VLOOKUP(B666,price!A:B,4,0)</f>
        <v>#N/A</v>
      </c>
    </row>
    <row r="667" spans="2:4" x14ac:dyDescent="0.2">
      <c r="B667" s="38"/>
      <c r="D667" s="5" t="e">
        <f>VLOOKUP(B667,price!A:B,4,0)</f>
        <v>#N/A</v>
      </c>
    </row>
    <row r="668" spans="2:4" x14ac:dyDescent="0.2">
      <c r="B668" s="38"/>
      <c r="D668" s="5" t="e">
        <f>VLOOKUP(B668,price!A:B,4,0)</f>
        <v>#N/A</v>
      </c>
    </row>
    <row r="669" spans="2:4" x14ac:dyDescent="0.2">
      <c r="B669" s="38"/>
      <c r="D669" s="5" t="e">
        <f>VLOOKUP(B669,price!A:B,4,0)</f>
        <v>#N/A</v>
      </c>
    </row>
    <row r="670" spans="2:4" x14ac:dyDescent="0.2">
      <c r="B670" s="38"/>
      <c r="D670" s="5" t="e">
        <f>VLOOKUP(B670,price!A:B,4,0)</f>
        <v>#N/A</v>
      </c>
    </row>
    <row r="671" spans="2:4" x14ac:dyDescent="0.2">
      <c r="B671" s="38"/>
      <c r="D671" s="5" t="e">
        <f>VLOOKUP(B671,price!A:B,4,0)</f>
        <v>#N/A</v>
      </c>
    </row>
    <row r="672" spans="2:4" x14ac:dyDescent="0.2">
      <c r="B672" s="40"/>
      <c r="D672" s="5" t="e">
        <f>VLOOKUP(B672,price!A:B,4,0)</f>
        <v>#N/A</v>
      </c>
    </row>
    <row r="673" spans="2:4" x14ac:dyDescent="0.2">
      <c r="B673" s="40"/>
      <c r="D673" s="5" t="e">
        <f>VLOOKUP(B673,price!A:B,4,0)</f>
        <v>#N/A</v>
      </c>
    </row>
    <row r="674" spans="2:4" x14ac:dyDescent="0.2">
      <c r="B674" s="40"/>
      <c r="D674" s="5" t="e">
        <f>VLOOKUP(B674,price!A:B,4,0)</f>
        <v>#N/A</v>
      </c>
    </row>
    <row r="675" spans="2:4" x14ac:dyDescent="0.2">
      <c r="B675" s="38"/>
      <c r="D675" s="5" t="e">
        <f>VLOOKUP(B675,price!A:B,4,0)</f>
        <v>#N/A</v>
      </c>
    </row>
    <row r="676" spans="2:4" x14ac:dyDescent="0.2">
      <c r="B676" s="38"/>
      <c r="D676" s="5" t="e">
        <f>VLOOKUP(B676,price!A:B,4,0)</f>
        <v>#N/A</v>
      </c>
    </row>
    <row r="677" spans="2:4" x14ac:dyDescent="0.2">
      <c r="B677" s="38"/>
      <c r="D677" s="5" t="e">
        <f>VLOOKUP(B677,price!A:B,4,0)</f>
        <v>#N/A</v>
      </c>
    </row>
    <row r="678" spans="2:4" x14ac:dyDescent="0.2">
      <c r="B678" s="38"/>
      <c r="D678" s="5" t="e">
        <f>VLOOKUP(B678,price!A:B,4,0)</f>
        <v>#N/A</v>
      </c>
    </row>
    <row r="679" spans="2:4" x14ac:dyDescent="0.2">
      <c r="B679" s="38"/>
      <c r="D679" s="5" t="e">
        <f>VLOOKUP(B679,price!A:B,4,0)</f>
        <v>#N/A</v>
      </c>
    </row>
    <row r="680" spans="2:4" x14ac:dyDescent="0.2">
      <c r="B680" s="38"/>
      <c r="D680" s="5" t="e">
        <f>VLOOKUP(B680,price!A:B,4,0)</f>
        <v>#N/A</v>
      </c>
    </row>
    <row r="681" spans="2:4" x14ac:dyDescent="0.2">
      <c r="B681" s="38"/>
      <c r="D681" s="5" t="e">
        <f>VLOOKUP(B681,price!A:B,4,0)</f>
        <v>#N/A</v>
      </c>
    </row>
    <row r="682" spans="2:4" x14ac:dyDescent="0.2">
      <c r="B682" s="38"/>
      <c r="D682" s="5" t="e">
        <f>VLOOKUP(B682,price!A:B,4,0)</f>
        <v>#N/A</v>
      </c>
    </row>
    <row r="683" spans="2:4" x14ac:dyDescent="0.2">
      <c r="B683" s="38"/>
      <c r="D683" s="5" t="e">
        <f>VLOOKUP(B683,price!A:B,4,0)</f>
        <v>#N/A</v>
      </c>
    </row>
    <row r="684" spans="2:4" x14ac:dyDescent="0.2">
      <c r="B684" s="38"/>
      <c r="D684" s="5" t="e">
        <f>VLOOKUP(B684,price!A:B,4,0)</f>
        <v>#N/A</v>
      </c>
    </row>
    <row r="685" spans="2:4" x14ac:dyDescent="0.2">
      <c r="B685" s="38"/>
      <c r="D685" s="5" t="e">
        <f>VLOOKUP(B685,price!A:B,4,0)</f>
        <v>#N/A</v>
      </c>
    </row>
    <row r="686" spans="2:4" x14ac:dyDescent="0.2">
      <c r="B686" s="38"/>
      <c r="D686" s="5" t="e">
        <f>VLOOKUP(B686,price!A:B,4,0)</f>
        <v>#N/A</v>
      </c>
    </row>
    <row r="687" spans="2:4" x14ac:dyDescent="0.2">
      <c r="B687" s="38"/>
      <c r="D687" s="5" t="e">
        <f>VLOOKUP(B687,price!A:B,4,0)</f>
        <v>#N/A</v>
      </c>
    </row>
    <row r="688" spans="2:4" x14ac:dyDescent="0.2">
      <c r="B688" s="38"/>
      <c r="D688" s="5" t="e">
        <f>VLOOKUP(B688,price!A:B,4,0)</f>
        <v>#N/A</v>
      </c>
    </row>
    <row r="689" spans="2:4" x14ac:dyDescent="0.2">
      <c r="B689" s="38"/>
      <c r="D689" s="5" t="e">
        <f>VLOOKUP(B689,price!A:B,4,0)</f>
        <v>#N/A</v>
      </c>
    </row>
    <row r="690" spans="2:4" x14ac:dyDescent="0.2">
      <c r="B690" s="38"/>
      <c r="D690" s="5" t="e">
        <f>VLOOKUP(B690,price!A:B,4,0)</f>
        <v>#N/A</v>
      </c>
    </row>
    <row r="691" spans="2:4" x14ac:dyDescent="0.2">
      <c r="B691" s="38"/>
      <c r="D691" s="5" t="e">
        <f>VLOOKUP(B691,price!A:B,4,0)</f>
        <v>#N/A</v>
      </c>
    </row>
    <row r="692" spans="2:4" x14ac:dyDescent="0.2">
      <c r="B692" s="38"/>
      <c r="D692" s="5" t="e">
        <f>VLOOKUP(B692,price!A:B,4,0)</f>
        <v>#N/A</v>
      </c>
    </row>
    <row r="693" spans="2:4" x14ac:dyDescent="0.2">
      <c r="B693" s="38"/>
      <c r="D693" s="5" t="e">
        <f>VLOOKUP(B693,price!A:B,4,0)</f>
        <v>#N/A</v>
      </c>
    </row>
    <row r="694" spans="2:4" x14ac:dyDescent="0.2">
      <c r="B694" s="38"/>
      <c r="D694" s="5" t="e">
        <f>VLOOKUP(B694,price!A:B,4,0)</f>
        <v>#N/A</v>
      </c>
    </row>
    <row r="695" spans="2:4" x14ac:dyDescent="0.2">
      <c r="B695" s="38"/>
      <c r="D695" s="5" t="e">
        <f>VLOOKUP(B695,price!A:B,4,0)</f>
        <v>#N/A</v>
      </c>
    </row>
    <row r="696" spans="2:4" x14ac:dyDescent="0.2">
      <c r="B696" s="38"/>
      <c r="D696" s="5" t="e">
        <f>VLOOKUP(B696,price!A:B,4,0)</f>
        <v>#N/A</v>
      </c>
    </row>
    <row r="697" spans="2:4" x14ac:dyDescent="0.2">
      <c r="B697" s="38"/>
      <c r="D697" s="5" t="e">
        <f>VLOOKUP(B697,price!A:B,4,0)</f>
        <v>#N/A</v>
      </c>
    </row>
    <row r="698" spans="2:4" x14ac:dyDescent="0.2">
      <c r="B698" s="38"/>
      <c r="D698" s="5" t="e">
        <f>VLOOKUP(B698,price!A:B,4,0)</f>
        <v>#N/A</v>
      </c>
    </row>
    <row r="699" spans="2:4" x14ac:dyDescent="0.2">
      <c r="B699" s="38"/>
      <c r="D699" s="5" t="e">
        <f>VLOOKUP(B699,price!A:B,4,0)</f>
        <v>#N/A</v>
      </c>
    </row>
    <row r="700" spans="2:4" x14ac:dyDescent="0.2">
      <c r="B700" s="38"/>
      <c r="D700" s="5" t="e">
        <f>VLOOKUP(B700,price!A:B,4,0)</f>
        <v>#N/A</v>
      </c>
    </row>
    <row r="701" spans="2:4" x14ac:dyDescent="0.2">
      <c r="B701" s="38"/>
      <c r="D701" s="5" t="e">
        <f>VLOOKUP(B701,price!A:B,4,0)</f>
        <v>#N/A</v>
      </c>
    </row>
    <row r="702" spans="2:4" x14ac:dyDescent="0.2">
      <c r="B702" s="38"/>
      <c r="D702" s="5" t="e">
        <f>VLOOKUP(B702,price!A:B,4,0)</f>
        <v>#N/A</v>
      </c>
    </row>
    <row r="703" spans="2:4" x14ac:dyDescent="0.2">
      <c r="B703" s="38"/>
      <c r="D703" s="5" t="e">
        <f>VLOOKUP(B703,price!A:B,4,0)</f>
        <v>#N/A</v>
      </c>
    </row>
    <row r="704" spans="2:4" x14ac:dyDescent="0.2">
      <c r="B704" s="38"/>
      <c r="D704" s="5" t="e">
        <f>VLOOKUP(B704,price!A:B,4,0)</f>
        <v>#N/A</v>
      </c>
    </row>
    <row r="705" spans="2:4" x14ac:dyDescent="0.2">
      <c r="B705" s="38"/>
      <c r="D705" s="5" t="e">
        <f>VLOOKUP(B705,price!A:B,4,0)</f>
        <v>#N/A</v>
      </c>
    </row>
    <row r="706" spans="2:4" x14ac:dyDescent="0.2">
      <c r="B706" s="38"/>
      <c r="D706" s="5" t="e">
        <f>VLOOKUP(B706,price!A:B,4,0)</f>
        <v>#N/A</v>
      </c>
    </row>
    <row r="707" spans="2:4" x14ac:dyDescent="0.2">
      <c r="B707" s="38"/>
      <c r="D707" s="5" t="e">
        <f>VLOOKUP(B707,price!A:B,4,0)</f>
        <v>#N/A</v>
      </c>
    </row>
    <row r="708" spans="2:4" x14ac:dyDescent="0.2">
      <c r="B708" s="38"/>
      <c r="D708" s="5" t="e">
        <f>VLOOKUP(B708,price!A:B,4,0)</f>
        <v>#N/A</v>
      </c>
    </row>
    <row r="709" spans="2:4" x14ac:dyDescent="0.2">
      <c r="B709" s="38"/>
      <c r="D709" s="5" t="e">
        <f>VLOOKUP(B709,price!A:B,4,0)</f>
        <v>#N/A</v>
      </c>
    </row>
    <row r="710" spans="2:4" x14ac:dyDescent="0.2">
      <c r="B710" s="38"/>
      <c r="D710" s="5" t="e">
        <f>VLOOKUP(B710,price!A:B,4,0)</f>
        <v>#N/A</v>
      </c>
    </row>
    <row r="711" spans="2:4" x14ac:dyDescent="0.2">
      <c r="B711" s="38"/>
      <c r="D711" s="5" t="e">
        <f>VLOOKUP(B711,price!A:B,4,0)</f>
        <v>#N/A</v>
      </c>
    </row>
    <row r="712" spans="2:4" x14ac:dyDescent="0.2">
      <c r="B712" s="38"/>
      <c r="D712" s="5" t="e">
        <f>VLOOKUP(B712,price!A:B,4,0)</f>
        <v>#N/A</v>
      </c>
    </row>
    <row r="713" spans="2:4" x14ac:dyDescent="0.2">
      <c r="B713" s="41"/>
      <c r="D713" s="5" t="e">
        <f>VLOOKUP(B713,price!A:B,4,0)</f>
        <v>#N/A</v>
      </c>
    </row>
    <row r="714" spans="2:4" x14ac:dyDescent="0.2">
      <c r="B714" s="38"/>
      <c r="D714" s="5" t="e">
        <f>VLOOKUP(B714,price!A:B,4,0)</f>
        <v>#N/A</v>
      </c>
    </row>
    <row r="715" spans="2:4" x14ac:dyDescent="0.2">
      <c r="B715" s="38"/>
      <c r="D715" s="5" t="e">
        <f>VLOOKUP(B715,price!A:B,4,0)</f>
        <v>#N/A</v>
      </c>
    </row>
    <row r="716" spans="2:4" x14ac:dyDescent="0.2">
      <c r="B716" s="38"/>
      <c r="D716" s="5" t="e">
        <f>VLOOKUP(B716,price!A:B,4,0)</f>
        <v>#N/A</v>
      </c>
    </row>
    <row r="717" spans="2:4" x14ac:dyDescent="0.2">
      <c r="B717" s="38"/>
      <c r="D717" s="5" t="e">
        <f>VLOOKUP(B717,price!A:B,4,0)</f>
        <v>#N/A</v>
      </c>
    </row>
    <row r="718" spans="2:4" x14ac:dyDescent="0.2">
      <c r="B718" s="38"/>
      <c r="D718" s="5" t="e">
        <f>VLOOKUP(B718,price!A:B,4,0)</f>
        <v>#N/A</v>
      </c>
    </row>
    <row r="719" spans="2:4" x14ac:dyDescent="0.2">
      <c r="B719" s="38"/>
      <c r="D719" s="5" t="e">
        <f>VLOOKUP(B719,price!A:B,4,0)</f>
        <v>#N/A</v>
      </c>
    </row>
    <row r="720" spans="2:4" x14ac:dyDescent="0.2">
      <c r="B720" s="38"/>
      <c r="D720" s="5" t="e">
        <f>VLOOKUP(B720,price!A:B,4,0)</f>
        <v>#N/A</v>
      </c>
    </row>
    <row r="721" spans="2:4" x14ac:dyDescent="0.2">
      <c r="B721" s="38"/>
      <c r="D721" s="5" t="e">
        <f>VLOOKUP(B721,price!A:B,4,0)</f>
        <v>#N/A</v>
      </c>
    </row>
    <row r="722" spans="2:4" x14ac:dyDescent="0.2">
      <c r="B722" s="38"/>
      <c r="D722" s="5" t="e">
        <f>VLOOKUP(B722,price!A:B,4,0)</f>
        <v>#N/A</v>
      </c>
    </row>
    <row r="723" spans="2:4" x14ac:dyDescent="0.2">
      <c r="B723" s="38"/>
      <c r="D723" s="5" t="e">
        <f>VLOOKUP(B723,price!A:B,4,0)</f>
        <v>#N/A</v>
      </c>
    </row>
    <row r="724" spans="2:4" x14ac:dyDescent="0.2">
      <c r="B724" s="38"/>
      <c r="D724" s="5" t="e">
        <f>VLOOKUP(B724,price!A:B,4,0)</f>
        <v>#N/A</v>
      </c>
    </row>
    <row r="725" spans="2:4" x14ac:dyDescent="0.2">
      <c r="B725" s="38"/>
      <c r="D725" s="5" t="e">
        <f>VLOOKUP(B725,price!A:B,4,0)</f>
        <v>#N/A</v>
      </c>
    </row>
    <row r="726" spans="2:4" x14ac:dyDescent="0.2">
      <c r="B726" s="38"/>
      <c r="D726" s="5" t="e">
        <f>VLOOKUP(B726,price!A:B,4,0)</f>
        <v>#N/A</v>
      </c>
    </row>
    <row r="727" spans="2:4" x14ac:dyDescent="0.2">
      <c r="B727" s="38"/>
      <c r="D727" s="5" t="e">
        <f>VLOOKUP(B727,price!A:B,4,0)</f>
        <v>#N/A</v>
      </c>
    </row>
    <row r="728" spans="2:4" x14ac:dyDescent="0.2">
      <c r="B728" s="38"/>
      <c r="D728" s="5" t="e">
        <f>VLOOKUP(B728,price!A:B,4,0)</f>
        <v>#N/A</v>
      </c>
    </row>
    <row r="729" spans="2:4" x14ac:dyDescent="0.2">
      <c r="B729" s="38"/>
      <c r="D729" s="5" t="e">
        <f>VLOOKUP(B729,price!A:B,4,0)</f>
        <v>#N/A</v>
      </c>
    </row>
    <row r="730" spans="2:4" x14ac:dyDescent="0.2">
      <c r="B730" s="38"/>
      <c r="D730" s="5" t="e">
        <f>VLOOKUP(B730,price!A:B,4,0)</f>
        <v>#N/A</v>
      </c>
    </row>
    <row r="731" spans="2:4" x14ac:dyDescent="0.2">
      <c r="B731" s="38"/>
      <c r="D731" s="5" t="e">
        <f>VLOOKUP(B731,price!A:B,4,0)</f>
        <v>#N/A</v>
      </c>
    </row>
    <row r="732" spans="2:4" x14ac:dyDescent="0.2">
      <c r="B732" s="38"/>
      <c r="D732" s="5" t="e">
        <f>VLOOKUP(B732,price!A:B,4,0)</f>
        <v>#N/A</v>
      </c>
    </row>
    <row r="733" spans="2:4" x14ac:dyDescent="0.2">
      <c r="B733" s="38"/>
      <c r="D733" s="5" t="e">
        <f>VLOOKUP(B733,price!A:B,4,0)</f>
        <v>#N/A</v>
      </c>
    </row>
    <row r="734" spans="2:4" x14ac:dyDescent="0.2">
      <c r="B734" s="38"/>
      <c r="D734" s="5" t="e">
        <f>VLOOKUP(B734,price!A:B,4,0)</f>
        <v>#N/A</v>
      </c>
    </row>
    <row r="735" spans="2:4" x14ac:dyDescent="0.2">
      <c r="B735" s="38"/>
      <c r="D735" s="5" t="e">
        <f>VLOOKUP(B735,price!A:B,4,0)</f>
        <v>#N/A</v>
      </c>
    </row>
    <row r="736" spans="2:4" x14ac:dyDescent="0.2">
      <c r="B736" s="38"/>
      <c r="D736" s="5" t="e">
        <f>VLOOKUP(B736,price!A:B,4,0)</f>
        <v>#N/A</v>
      </c>
    </row>
    <row r="737" spans="2:4" x14ac:dyDescent="0.2">
      <c r="B737" s="38"/>
      <c r="D737" s="5" t="e">
        <f>VLOOKUP(B737,price!A:B,4,0)</f>
        <v>#N/A</v>
      </c>
    </row>
    <row r="738" spans="2:4" x14ac:dyDescent="0.2">
      <c r="B738" s="38"/>
      <c r="D738" s="5" t="e">
        <f>VLOOKUP(B738,price!A:B,4,0)</f>
        <v>#N/A</v>
      </c>
    </row>
    <row r="739" spans="2:4" x14ac:dyDescent="0.2">
      <c r="B739" s="38"/>
      <c r="D739" s="5" t="e">
        <f>VLOOKUP(B739,price!A:B,4,0)</f>
        <v>#N/A</v>
      </c>
    </row>
    <row r="740" spans="2:4" x14ac:dyDescent="0.2">
      <c r="B740" s="38"/>
      <c r="D740" s="5" t="e">
        <f>VLOOKUP(B740,price!A:B,4,0)</f>
        <v>#N/A</v>
      </c>
    </row>
    <row r="741" spans="2:4" x14ac:dyDescent="0.2">
      <c r="B741" s="38"/>
      <c r="D741" s="5" t="e">
        <f>VLOOKUP(B741,price!A:B,4,0)</f>
        <v>#N/A</v>
      </c>
    </row>
    <row r="742" spans="2:4" x14ac:dyDescent="0.2">
      <c r="B742" s="38"/>
      <c r="D742" s="5" t="e">
        <f>VLOOKUP(B742,price!A:B,4,0)</f>
        <v>#N/A</v>
      </c>
    </row>
    <row r="743" spans="2:4" x14ac:dyDescent="0.2">
      <c r="B743" s="38"/>
      <c r="D743" s="5" t="e">
        <f>VLOOKUP(B743,price!A:B,4,0)</f>
        <v>#N/A</v>
      </c>
    </row>
    <row r="744" spans="2:4" x14ac:dyDescent="0.2">
      <c r="B744" s="38"/>
      <c r="D744" s="5" t="e">
        <f>VLOOKUP(B744,price!A:B,4,0)</f>
        <v>#N/A</v>
      </c>
    </row>
    <row r="745" spans="2:4" x14ac:dyDescent="0.2">
      <c r="B745" s="38"/>
      <c r="D745" s="5" t="e">
        <f>VLOOKUP(B745,price!A:B,4,0)</f>
        <v>#N/A</v>
      </c>
    </row>
    <row r="746" spans="2:4" x14ac:dyDescent="0.2">
      <c r="B746" s="38"/>
      <c r="D746" s="5" t="e">
        <f>VLOOKUP(B746,price!A:B,4,0)</f>
        <v>#N/A</v>
      </c>
    </row>
    <row r="747" spans="2:4" x14ac:dyDescent="0.2">
      <c r="B747" s="38"/>
      <c r="D747" s="5" t="e">
        <f>VLOOKUP(B747,price!A:B,4,0)</f>
        <v>#N/A</v>
      </c>
    </row>
    <row r="748" spans="2:4" x14ac:dyDescent="0.2">
      <c r="B748" s="38"/>
      <c r="D748" s="5" t="e">
        <f>VLOOKUP(B748,price!A:B,4,0)</f>
        <v>#N/A</v>
      </c>
    </row>
    <row r="749" spans="2:4" x14ac:dyDescent="0.2">
      <c r="B749" s="38"/>
      <c r="D749" s="5" t="e">
        <f>VLOOKUP(B749,price!A:B,4,0)</f>
        <v>#N/A</v>
      </c>
    </row>
    <row r="750" spans="2:4" x14ac:dyDescent="0.2">
      <c r="B750" s="38"/>
      <c r="D750" s="5" t="e">
        <f>VLOOKUP(B750,price!A:B,4,0)</f>
        <v>#N/A</v>
      </c>
    </row>
    <row r="751" spans="2:4" x14ac:dyDescent="0.2">
      <c r="B751" s="38"/>
      <c r="D751" s="5" t="e">
        <f>VLOOKUP(B751,price!A:B,4,0)</f>
        <v>#N/A</v>
      </c>
    </row>
    <row r="752" spans="2:4" x14ac:dyDescent="0.2">
      <c r="B752" s="38"/>
      <c r="D752" s="5" t="e">
        <f>VLOOKUP(B752,price!A:B,4,0)</f>
        <v>#N/A</v>
      </c>
    </row>
    <row r="753" spans="2:4" x14ac:dyDescent="0.2">
      <c r="B753" s="38"/>
      <c r="D753" s="5" t="e">
        <f>VLOOKUP(B753,price!A:B,4,0)</f>
        <v>#N/A</v>
      </c>
    </row>
    <row r="754" spans="2:4" x14ac:dyDescent="0.2">
      <c r="B754" s="38"/>
      <c r="D754" s="5" t="e">
        <f>VLOOKUP(B754,price!A:B,4,0)</f>
        <v>#N/A</v>
      </c>
    </row>
    <row r="755" spans="2:4" x14ac:dyDescent="0.2">
      <c r="B755" s="38"/>
      <c r="D755" s="5" t="e">
        <f>VLOOKUP(B755,price!A:B,4,0)</f>
        <v>#N/A</v>
      </c>
    </row>
    <row r="756" spans="2:4" x14ac:dyDescent="0.2">
      <c r="B756" s="38"/>
      <c r="D756" s="5" t="e">
        <f>VLOOKUP(B756,price!A:B,4,0)</f>
        <v>#N/A</v>
      </c>
    </row>
    <row r="757" spans="2:4" x14ac:dyDescent="0.2">
      <c r="B757" s="38"/>
      <c r="D757" s="5" t="e">
        <f>VLOOKUP(B757,price!A:B,4,0)</f>
        <v>#N/A</v>
      </c>
    </row>
    <row r="758" spans="2:4" x14ac:dyDescent="0.2">
      <c r="B758" s="38"/>
      <c r="D758" s="5" t="e">
        <f>VLOOKUP(B758,price!A:B,4,0)</f>
        <v>#N/A</v>
      </c>
    </row>
    <row r="759" spans="2:4" x14ac:dyDescent="0.2">
      <c r="B759" s="38"/>
      <c r="D759" s="5" t="e">
        <f>VLOOKUP(B759,price!A:B,4,0)</f>
        <v>#N/A</v>
      </c>
    </row>
    <row r="760" spans="2:4" x14ac:dyDescent="0.2">
      <c r="B760" s="38"/>
      <c r="D760" s="5" t="e">
        <f>VLOOKUP(B760,price!A:B,4,0)</f>
        <v>#N/A</v>
      </c>
    </row>
    <row r="761" spans="2:4" x14ac:dyDescent="0.2">
      <c r="B761" s="38"/>
      <c r="D761" s="5" t="e">
        <f>VLOOKUP(B761,price!A:B,4,0)</f>
        <v>#N/A</v>
      </c>
    </row>
    <row r="762" spans="2:4" x14ac:dyDescent="0.2">
      <c r="B762" s="38"/>
      <c r="D762" s="5" t="e">
        <f>VLOOKUP(B762,price!A:B,4,0)</f>
        <v>#N/A</v>
      </c>
    </row>
    <row r="763" spans="2:4" x14ac:dyDescent="0.2">
      <c r="B763" s="38"/>
      <c r="D763" s="5" t="e">
        <f>VLOOKUP(B763,price!A:B,4,0)</f>
        <v>#N/A</v>
      </c>
    </row>
    <row r="764" spans="2:4" x14ac:dyDescent="0.2">
      <c r="B764" s="38"/>
      <c r="D764" s="5" t="e">
        <f>VLOOKUP(B764,price!A:B,4,0)</f>
        <v>#N/A</v>
      </c>
    </row>
    <row r="765" spans="2:4" x14ac:dyDescent="0.2">
      <c r="B765" s="38"/>
      <c r="D765" s="5" t="e">
        <f>VLOOKUP(B765,price!A:B,4,0)</f>
        <v>#N/A</v>
      </c>
    </row>
    <row r="766" spans="2:4" x14ac:dyDescent="0.2">
      <c r="B766" s="38"/>
      <c r="D766" s="5" t="e">
        <f>VLOOKUP(B766,price!A:B,4,0)</f>
        <v>#N/A</v>
      </c>
    </row>
    <row r="767" spans="2:4" x14ac:dyDescent="0.2">
      <c r="B767" s="38"/>
      <c r="D767" s="5" t="e">
        <f>VLOOKUP(B767,price!A:B,4,0)</f>
        <v>#N/A</v>
      </c>
    </row>
    <row r="768" spans="2:4" x14ac:dyDescent="0.2">
      <c r="B768" s="38"/>
      <c r="D768" s="5" t="e">
        <f>VLOOKUP(B768,price!A:B,4,0)</f>
        <v>#N/A</v>
      </c>
    </row>
    <row r="769" spans="2:4" x14ac:dyDescent="0.2">
      <c r="B769" s="38"/>
      <c r="D769" s="5" t="e">
        <f>VLOOKUP(B769,price!A:B,4,0)</f>
        <v>#N/A</v>
      </c>
    </row>
    <row r="770" spans="2:4" x14ac:dyDescent="0.2">
      <c r="B770" s="38"/>
      <c r="D770" s="5" t="e">
        <f>VLOOKUP(B770,price!A:B,4,0)</f>
        <v>#N/A</v>
      </c>
    </row>
    <row r="771" spans="2:4" x14ac:dyDescent="0.2">
      <c r="B771" s="38"/>
      <c r="D771" s="5" t="e">
        <f>VLOOKUP(B771,price!A:B,4,0)</f>
        <v>#N/A</v>
      </c>
    </row>
    <row r="772" spans="2:4" x14ac:dyDescent="0.2">
      <c r="B772" s="38"/>
      <c r="D772" s="5" t="e">
        <f>VLOOKUP(B772,price!A:B,4,0)</f>
        <v>#N/A</v>
      </c>
    </row>
    <row r="773" spans="2:4" x14ac:dyDescent="0.2">
      <c r="B773" s="38"/>
      <c r="D773" s="5" t="e">
        <f>VLOOKUP(B773,price!A:B,4,0)</f>
        <v>#N/A</v>
      </c>
    </row>
    <row r="774" spans="2:4" x14ac:dyDescent="0.2">
      <c r="B774" s="38"/>
      <c r="D774" s="5" t="e">
        <f>VLOOKUP(B774,price!A:B,4,0)</f>
        <v>#N/A</v>
      </c>
    </row>
    <row r="775" spans="2:4" x14ac:dyDescent="0.2">
      <c r="B775" s="38"/>
      <c r="D775" s="5" t="e">
        <f>VLOOKUP(B775,price!A:B,4,0)</f>
        <v>#N/A</v>
      </c>
    </row>
    <row r="776" spans="2:4" x14ac:dyDescent="0.2">
      <c r="B776" s="38"/>
      <c r="D776" s="5" t="e">
        <f>VLOOKUP(B776,price!A:B,4,0)</f>
        <v>#N/A</v>
      </c>
    </row>
    <row r="777" spans="2:4" x14ac:dyDescent="0.2">
      <c r="B777" s="38"/>
      <c r="D777" s="5" t="e">
        <f>VLOOKUP(B777,price!A:B,4,0)</f>
        <v>#N/A</v>
      </c>
    </row>
    <row r="778" spans="2:4" x14ac:dyDescent="0.2">
      <c r="B778" s="38"/>
      <c r="D778" s="5" t="e">
        <f>VLOOKUP(B778,price!A:B,4,0)</f>
        <v>#N/A</v>
      </c>
    </row>
    <row r="779" spans="2:4" x14ac:dyDescent="0.2">
      <c r="B779" s="38"/>
      <c r="D779" s="5" t="e">
        <f>VLOOKUP(B779,price!A:B,4,0)</f>
        <v>#N/A</v>
      </c>
    </row>
    <row r="780" spans="2:4" x14ac:dyDescent="0.2">
      <c r="B780" s="38"/>
      <c r="D780" s="5" t="e">
        <f>VLOOKUP(B780,price!A:B,4,0)</f>
        <v>#N/A</v>
      </c>
    </row>
    <row r="781" spans="2:4" x14ac:dyDescent="0.2">
      <c r="B781" s="38"/>
      <c r="D781" s="5" t="e">
        <f>VLOOKUP(B781,price!A:B,4,0)</f>
        <v>#N/A</v>
      </c>
    </row>
    <row r="782" spans="2:4" x14ac:dyDescent="0.2">
      <c r="B782" s="38"/>
      <c r="D782" s="5" t="e">
        <f>VLOOKUP(B782,price!A:B,4,0)</f>
        <v>#N/A</v>
      </c>
    </row>
    <row r="783" spans="2:4" x14ac:dyDescent="0.2">
      <c r="B783" s="38"/>
      <c r="D783" s="5" t="e">
        <f>VLOOKUP(B783,price!A:B,4,0)</f>
        <v>#N/A</v>
      </c>
    </row>
    <row r="784" spans="2:4" x14ac:dyDescent="0.2">
      <c r="B784" s="38"/>
      <c r="D784" s="5" t="e">
        <f>VLOOKUP(B784,price!A:B,4,0)</f>
        <v>#N/A</v>
      </c>
    </row>
    <row r="785" spans="2:4" x14ac:dyDescent="0.2">
      <c r="B785" s="38"/>
      <c r="D785" s="5" t="e">
        <f>VLOOKUP(B785,price!A:B,4,0)</f>
        <v>#N/A</v>
      </c>
    </row>
    <row r="786" spans="2:4" x14ac:dyDescent="0.2">
      <c r="B786" s="38"/>
      <c r="D786" s="5" t="e">
        <f>VLOOKUP(B786,price!A:B,4,0)</f>
        <v>#N/A</v>
      </c>
    </row>
    <row r="787" spans="2:4" x14ac:dyDescent="0.2">
      <c r="B787" s="38"/>
      <c r="D787" s="5" t="e">
        <f>VLOOKUP(B787,price!A:B,4,0)</f>
        <v>#N/A</v>
      </c>
    </row>
    <row r="788" spans="2:4" x14ac:dyDescent="0.2">
      <c r="B788" s="38"/>
      <c r="D788" s="5" t="e">
        <f>VLOOKUP(B788,price!A:B,4,0)</f>
        <v>#N/A</v>
      </c>
    </row>
    <row r="789" spans="2:4" x14ac:dyDescent="0.2">
      <c r="B789" s="38"/>
      <c r="D789" s="5" t="e">
        <f>VLOOKUP(B789,price!A:B,4,0)</f>
        <v>#N/A</v>
      </c>
    </row>
    <row r="790" spans="2:4" x14ac:dyDescent="0.2">
      <c r="B790" s="38"/>
      <c r="D790" s="5" t="e">
        <f>VLOOKUP(B790,price!A:B,4,0)</f>
        <v>#N/A</v>
      </c>
    </row>
    <row r="791" spans="2:4" x14ac:dyDescent="0.2">
      <c r="B791" s="38"/>
      <c r="D791" s="5" t="e">
        <f>VLOOKUP(B791,price!A:B,4,0)</f>
        <v>#N/A</v>
      </c>
    </row>
    <row r="792" spans="2:4" x14ac:dyDescent="0.2">
      <c r="B792" s="38"/>
      <c r="D792" s="5" t="e">
        <f>VLOOKUP(B792,price!A:B,4,0)</f>
        <v>#N/A</v>
      </c>
    </row>
    <row r="793" spans="2:4" x14ac:dyDescent="0.2">
      <c r="B793" s="38"/>
      <c r="D793" s="5" t="e">
        <f>VLOOKUP(B793,price!A:B,4,0)</f>
        <v>#N/A</v>
      </c>
    </row>
    <row r="794" spans="2:4" x14ac:dyDescent="0.2">
      <c r="B794" s="38"/>
      <c r="D794" s="5" t="e">
        <f>VLOOKUP(B794,price!A:B,4,0)</f>
        <v>#N/A</v>
      </c>
    </row>
    <row r="795" spans="2:4" x14ac:dyDescent="0.2">
      <c r="B795" s="38"/>
      <c r="D795" s="5" t="e">
        <f>VLOOKUP(B795,price!A:B,4,0)</f>
        <v>#N/A</v>
      </c>
    </row>
    <row r="796" spans="2:4" x14ac:dyDescent="0.2">
      <c r="B796" s="38"/>
      <c r="D796" s="5" t="e">
        <f>VLOOKUP(B796,price!A:B,4,0)</f>
        <v>#N/A</v>
      </c>
    </row>
    <row r="797" spans="2:4" x14ac:dyDescent="0.2">
      <c r="B797" s="38"/>
      <c r="D797" s="5" t="e">
        <f>VLOOKUP(B797,price!A:B,4,0)</f>
        <v>#N/A</v>
      </c>
    </row>
    <row r="798" spans="2:4" x14ac:dyDescent="0.2">
      <c r="B798" s="38"/>
      <c r="D798" s="5" t="e">
        <f>VLOOKUP(B798,price!A:B,4,0)</f>
        <v>#N/A</v>
      </c>
    </row>
    <row r="799" spans="2:4" x14ac:dyDescent="0.2">
      <c r="B799" s="38"/>
      <c r="D799" s="5" t="e">
        <f>VLOOKUP(B799,price!A:B,4,0)</f>
        <v>#N/A</v>
      </c>
    </row>
    <row r="800" spans="2:4" x14ac:dyDescent="0.2">
      <c r="B800" s="38"/>
      <c r="D800" s="5" t="e">
        <f>VLOOKUP(B800,price!A:B,4,0)</f>
        <v>#N/A</v>
      </c>
    </row>
    <row r="801" spans="2:4" x14ac:dyDescent="0.2">
      <c r="B801" s="38"/>
      <c r="D801" s="5" t="e">
        <f>VLOOKUP(B801,price!A:B,4,0)</f>
        <v>#N/A</v>
      </c>
    </row>
    <row r="802" spans="2:4" x14ac:dyDescent="0.2">
      <c r="B802" s="38"/>
      <c r="D802" s="5" t="e">
        <f>VLOOKUP(B802,price!A:B,4,0)</f>
        <v>#N/A</v>
      </c>
    </row>
    <row r="803" spans="2:4" x14ac:dyDescent="0.2">
      <c r="B803" s="38"/>
      <c r="D803" s="5" t="e">
        <f>VLOOKUP(B803,price!A:B,4,0)</f>
        <v>#N/A</v>
      </c>
    </row>
    <row r="804" spans="2:4" x14ac:dyDescent="0.2">
      <c r="B804" s="38"/>
      <c r="D804" s="5" t="e">
        <f>VLOOKUP(B804,price!A:B,4,0)</f>
        <v>#N/A</v>
      </c>
    </row>
    <row r="805" spans="2:4" x14ac:dyDescent="0.2">
      <c r="B805" s="38"/>
      <c r="D805" s="5" t="e">
        <f>VLOOKUP(B805,price!A:B,4,0)</f>
        <v>#N/A</v>
      </c>
    </row>
    <row r="806" spans="2:4" x14ac:dyDescent="0.2">
      <c r="B806" s="38"/>
      <c r="D806" s="5" t="e">
        <f>VLOOKUP(B806,price!A:B,4,0)</f>
        <v>#N/A</v>
      </c>
    </row>
    <row r="807" spans="2:4" x14ac:dyDescent="0.2">
      <c r="B807" s="38"/>
      <c r="D807" s="5" t="e">
        <f>VLOOKUP(B807,price!A:B,4,0)</f>
        <v>#N/A</v>
      </c>
    </row>
    <row r="808" spans="2:4" x14ac:dyDescent="0.2">
      <c r="B808" s="38"/>
      <c r="D808" s="5" t="e">
        <f>VLOOKUP(B808,price!A:B,4,0)</f>
        <v>#N/A</v>
      </c>
    </row>
    <row r="809" spans="2:4" x14ac:dyDescent="0.2">
      <c r="B809" s="38"/>
      <c r="D809" s="5" t="e">
        <f>VLOOKUP(B809,price!A:B,4,0)</f>
        <v>#N/A</v>
      </c>
    </row>
    <row r="810" spans="2:4" x14ac:dyDescent="0.2">
      <c r="B810" s="38"/>
      <c r="D810" s="5" t="e">
        <f>VLOOKUP(B810,price!A:B,4,0)</f>
        <v>#N/A</v>
      </c>
    </row>
    <row r="811" spans="2:4" x14ac:dyDescent="0.2">
      <c r="B811" s="38"/>
      <c r="D811" s="5" t="e">
        <f>VLOOKUP(B811,price!A:B,4,0)</f>
        <v>#N/A</v>
      </c>
    </row>
    <row r="812" spans="2:4" x14ac:dyDescent="0.2">
      <c r="B812" s="38"/>
      <c r="D812" s="5" t="e">
        <f>VLOOKUP(B812,price!A:B,4,0)</f>
        <v>#N/A</v>
      </c>
    </row>
    <row r="813" spans="2:4" x14ac:dyDescent="0.2">
      <c r="B813" s="38"/>
      <c r="D813" s="5" t="e">
        <f>VLOOKUP(B813,price!A:B,4,0)</f>
        <v>#N/A</v>
      </c>
    </row>
    <row r="814" spans="2:4" x14ac:dyDescent="0.2">
      <c r="B814" s="38"/>
      <c r="D814" s="5" t="e">
        <f>VLOOKUP(B814,price!A:B,4,0)</f>
        <v>#N/A</v>
      </c>
    </row>
    <row r="815" spans="2:4" x14ac:dyDescent="0.2">
      <c r="B815" s="38"/>
      <c r="D815" s="5" t="e">
        <f>VLOOKUP(B815,price!A:B,4,0)</f>
        <v>#N/A</v>
      </c>
    </row>
    <row r="816" spans="2:4" x14ac:dyDescent="0.2">
      <c r="B816" s="38"/>
      <c r="D816" s="5" t="e">
        <f>VLOOKUP(B816,price!A:B,4,0)</f>
        <v>#N/A</v>
      </c>
    </row>
    <row r="817" spans="2:4" x14ac:dyDescent="0.2">
      <c r="B817" s="38"/>
      <c r="D817" s="5" t="e">
        <f>VLOOKUP(B817,price!A:B,4,0)</f>
        <v>#N/A</v>
      </c>
    </row>
    <row r="818" spans="2:4" x14ac:dyDescent="0.2">
      <c r="B818" s="38"/>
      <c r="D818" s="5" t="e">
        <f>VLOOKUP(B818,price!A:B,4,0)</f>
        <v>#N/A</v>
      </c>
    </row>
    <row r="819" spans="2:4" x14ac:dyDescent="0.2">
      <c r="B819" s="38"/>
      <c r="D819" s="5" t="e">
        <f>VLOOKUP(B819,price!A:B,4,0)</f>
        <v>#N/A</v>
      </c>
    </row>
    <row r="820" spans="2:4" x14ac:dyDescent="0.2">
      <c r="B820" s="38"/>
      <c r="D820" s="5" t="e">
        <f>VLOOKUP(B820,price!A:B,4,0)</f>
        <v>#N/A</v>
      </c>
    </row>
    <row r="821" spans="2:4" x14ac:dyDescent="0.2">
      <c r="B821" s="38"/>
      <c r="D821" s="5" t="e">
        <f>VLOOKUP(B821,price!A:B,4,0)</f>
        <v>#N/A</v>
      </c>
    </row>
    <row r="822" spans="2:4" x14ac:dyDescent="0.2">
      <c r="B822" s="38"/>
      <c r="D822" s="5" t="e">
        <f>VLOOKUP(B822,price!A:B,4,0)</f>
        <v>#N/A</v>
      </c>
    </row>
    <row r="823" spans="2:4" x14ac:dyDescent="0.2">
      <c r="B823" s="38"/>
      <c r="D823" s="5" t="e">
        <f>VLOOKUP(B823,price!A:B,4,0)</f>
        <v>#N/A</v>
      </c>
    </row>
    <row r="824" spans="2:4" x14ac:dyDescent="0.2">
      <c r="B824" s="38"/>
      <c r="D824" s="5" t="e">
        <f>VLOOKUP(B824,price!A:B,4,0)</f>
        <v>#N/A</v>
      </c>
    </row>
    <row r="825" spans="2:4" x14ac:dyDescent="0.2">
      <c r="B825" s="38"/>
      <c r="D825" s="5" t="e">
        <f>VLOOKUP(B825,price!A:B,4,0)</f>
        <v>#N/A</v>
      </c>
    </row>
    <row r="826" spans="2:4" x14ac:dyDescent="0.2">
      <c r="B826" s="38"/>
      <c r="D826" s="5" t="e">
        <f>VLOOKUP(B826,price!A:B,4,0)</f>
        <v>#N/A</v>
      </c>
    </row>
    <row r="827" spans="2:4" x14ac:dyDescent="0.2">
      <c r="B827" s="38"/>
      <c r="D827" s="5" t="e">
        <f>VLOOKUP(B827,price!A:B,4,0)</f>
        <v>#N/A</v>
      </c>
    </row>
    <row r="828" spans="2:4" x14ac:dyDescent="0.2">
      <c r="B828" s="38"/>
      <c r="D828" s="5" t="e">
        <f>VLOOKUP(B828,price!A:B,4,0)</f>
        <v>#N/A</v>
      </c>
    </row>
    <row r="829" spans="2:4" x14ac:dyDescent="0.2">
      <c r="B829" s="38"/>
      <c r="D829" s="5" t="e">
        <f>VLOOKUP(B829,price!A:B,4,0)</f>
        <v>#N/A</v>
      </c>
    </row>
    <row r="830" spans="2:4" x14ac:dyDescent="0.2">
      <c r="B830" s="38"/>
      <c r="D830" s="5" t="e">
        <f>VLOOKUP(B830,price!A:B,4,0)</f>
        <v>#N/A</v>
      </c>
    </row>
    <row r="831" spans="2:4" x14ac:dyDescent="0.2">
      <c r="B831" s="38"/>
      <c r="D831" s="5" t="e">
        <f>VLOOKUP(B831,price!A:B,4,0)</f>
        <v>#N/A</v>
      </c>
    </row>
    <row r="832" spans="2:4" x14ac:dyDescent="0.2">
      <c r="B832" s="38"/>
      <c r="D832" s="5" t="e">
        <f>VLOOKUP(B832,price!A:B,4,0)</f>
        <v>#N/A</v>
      </c>
    </row>
    <row r="833" spans="2:4" x14ac:dyDescent="0.2">
      <c r="B833" s="38"/>
      <c r="D833" s="5" t="e">
        <f>VLOOKUP(B833,price!A:B,4,0)</f>
        <v>#N/A</v>
      </c>
    </row>
    <row r="834" spans="2:4" x14ac:dyDescent="0.2">
      <c r="B834" s="38"/>
      <c r="D834" s="5" t="e">
        <f>VLOOKUP(B834,price!A:B,4,0)</f>
        <v>#N/A</v>
      </c>
    </row>
    <row r="835" spans="2:4" x14ac:dyDescent="0.2">
      <c r="B835" s="38"/>
      <c r="D835" s="5" t="e">
        <f>VLOOKUP(B835,price!A:B,4,0)</f>
        <v>#N/A</v>
      </c>
    </row>
    <row r="836" spans="2:4" x14ac:dyDescent="0.2">
      <c r="B836" s="38"/>
      <c r="D836" s="5" t="e">
        <f>VLOOKUP(B836,price!A:B,4,0)</f>
        <v>#N/A</v>
      </c>
    </row>
    <row r="837" spans="2:4" x14ac:dyDescent="0.2">
      <c r="B837" s="38"/>
      <c r="D837" s="5" t="e">
        <f>VLOOKUP(B837,price!A:B,4,0)</f>
        <v>#N/A</v>
      </c>
    </row>
    <row r="838" spans="2:4" x14ac:dyDescent="0.2">
      <c r="B838" s="38"/>
      <c r="D838" s="5" t="e">
        <f>VLOOKUP(B838,price!A:B,4,0)</f>
        <v>#N/A</v>
      </c>
    </row>
    <row r="839" spans="2:4" x14ac:dyDescent="0.2">
      <c r="B839" s="38"/>
      <c r="D839" s="5" t="e">
        <f>VLOOKUP(B839,price!A:B,4,0)</f>
        <v>#N/A</v>
      </c>
    </row>
    <row r="840" spans="2:4" x14ac:dyDescent="0.2">
      <c r="B840" s="38"/>
      <c r="D840" s="5" t="e">
        <f>VLOOKUP(B840,price!A:B,4,0)</f>
        <v>#N/A</v>
      </c>
    </row>
    <row r="841" spans="2:4" x14ac:dyDescent="0.2">
      <c r="B841" s="42"/>
      <c r="D841" s="5" t="e">
        <f>VLOOKUP(B841,price!A:B,4,0)</f>
        <v>#N/A</v>
      </c>
    </row>
    <row r="842" spans="2:4" x14ac:dyDescent="0.2">
      <c r="B842" s="42"/>
      <c r="D842" s="5" t="e">
        <f>VLOOKUP(B842,price!A:B,4,0)</f>
        <v>#N/A</v>
      </c>
    </row>
    <row r="843" spans="2:4" x14ac:dyDescent="0.2">
      <c r="B843" s="38"/>
      <c r="D843" s="5" t="e">
        <f>VLOOKUP(B843,price!A:B,4,0)</f>
        <v>#N/A</v>
      </c>
    </row>
    <row r="844" spans="2:4" x14ac:dyDescent="0.2">
      <c r="B844" s="38"/>
      <c r="D844" s="5" t="e">
        <f>VLOOKUP(B844,price!A:B,4,0)</f>
        <v>#N/A</v>
      </c>
    </row>
    <row r="845" spans="2:4" x14ac:dyDescent="0.2">
      <c r="B845" s="38"/>
      <c r="D845" s="5" t="e">
        <f>VLOOKUP(B845,price!A:B,4,0)</f>
        <v>#N/A</v>
      </c>
    </row>
    <row r="846" spans="2:4" x14ac:dyDescent="0.2">
      <c r="B846" s="38"/>
      <c r="D846" s="5" t="e">
        <f>VLOOKUP(B846,price!A:B,4,0)</f>
        <v>#N/A</v>
      </c>
    </row>
    <row r="847" spans="2:4" x14ac:dyDescent="0.2">
      <c r="B847" s="38"/>
      <c r="D847" s="5" t="e">
        <f>VLOOKUP(B847,price!A:B,4,0)</f>
        <v>#N/A</v>
      </c>
    </row>
    <row r="848" spans="2:4" x14ac:dyDescent="0.2">
      <c r="B848" s="38"/>
      <c r="D848" s="5" t="e">
        <f>VLOOKUP(B848,price!A:B,4,0)</f>
        <v>#N/A</v>
      </c>
    </row>
    <row r="849" spans="2:4" x14ac:dyDescent="0.2">
      <c r="B849" s="38"/>
      <c r="D849" s="5" t="e">
        <f>VLOOKUP(B849,price!A:B,4,0)</f>
        <v>#N/A</v>
      </c>
    </row>
    <row r="850" spans="2:4" x14ac:dyDescent="0.2">
      <c r="B850" s="38"/>
      <c r="D850" s="5" t="e">
        <f>VLOOKUP(B850,price!A:B,4,0)</f>
        <v>#N/A</v>
      </c>
    </row>
    <row r="851" spans="2:4" x14ac:dyDescent="0.2">
      <c r="B851" s="38"/>
      <c r="D851" s="5" t="e">
        <f>VLOOKUP(B851,price!A:B,4,0)</f>
        <v>#N/A</v>
      </c>
    </row>
    <row r="852" spans="2:4" x14ac:dyDescent="0.2">
      <c r="B852" s="43"/>
      <c r="D852" s="5" t="e">
        <f>VLOOKUP(B852,price!A:B,4,0)</f>
        <v>#N/A</v>
      </c>
    </row>
    <row r="853" spans="2:4" x14ac:dyDescent="0.2">
      <c r="B853" s="43"/>
      <c r="D853" s="5" t="e">
        <f>VLOOKUP(B853,price!A:B,4,0)</f>
        <v>#N/A</v>
      </c>
    </row>
    <row r="854" spans="2:4" x14ac:dyDescent="0.2">
      <c r="D854" s="5" t="e">
        <f>VLOOKUP(B854,price!A:B,4,0)</f>
        <v>#N/A</v>
      </c>
    </row>
    <row r="855" spans="2:4" x14ac:dyDescent="0.2">
      <c r="D855" s="5" t="e">
        <f>VLOOKUP(B855,price!A:B,4,0)</f>
        <v>#N/A</v>
      </c>
    </row>
    <row r="856" spans="2:4" x14ac:dyDescent="0.2">
      <c r="D856" s="5" t="e">
        <f>VLOOKUP(B856,price!A:B,4,0)</f>
        <v>#N/A</v>
      </c>
    </row>
    <row r="857" spans="2:4" x14ac:dyDescent="0.2">
      <c r="D857" s="5" t="e">
        <f>VLOOKUP(B857,price!A:B,4,0)</f>
        <v>#N/A</v>
      </c>
    </row>
    <row r="858" spans="2:4" x14ac:dyDescent="0.2">
      <c r="B858" s="39"/>
      <c r="D858" s="5" t="e">
        <f>VLOOKUP(B858,price!A:B,4,0)</f>
        <v>#N/A</v>
      </c>
    </row>
    <row r="859" spans="2:4" x14ac:dyDescent="0.2">
      <c r="D859" s="5" t="e">
        <f>VLOOKUP(B859,price!A:B,4,0)</f>
        <v>#N/A</v>
      </c>
    </row>
    <row r="860" spans="2:4" x14ac:dyDescent="0.2">
      <c r="D860" s="5" t="e">
        <f>VLOOKUP(B860,price!A:B,4,0)</f>
        <v>#N/A</v>
      </c>
    </row>
    <row r="861" spans="2:4" x14ac:dyDescent="0.2">
      <c r="D861" s="5" t="e">
        <f>VLOOKUP(B861,price!A:B,4,0)</f>
        <v>#N/A</v>
      </c>
    </row>
    <row r="862" spans="2:4" x14ac:dyDescent="0.2">
      <c r="D862" s="5" t="e">
        <f>VLOOKUP(B862,price!A:B,4,0)</f>
        <v>#N/A</v>
      </c>
    </row>
    <row r="863" spans="2:4" x14ac:dyDescent="0.2">
      <c r="D863" s="5" t="e">
        <f>VLOOKUP(B863,price!A:B,4,0)</f>
        <v>#N/A</v>
      </c>
    </row>
    <row r="864" spans="2:4" x14ac:dyDescent="0.2">
      <c r="D864" s="5" t="e">
        <f>VLOOKUP(B864,price!A:B,4,0)</f>
        <v>#N/A</v>
      </c>
    </row>
    <row r="865" spans="2:4" x14ac:dyDescent="0.2">
      <c r="D865" s="5" t="e">
        <f>VLOOKUP(B865,price!A:B,4,0)</f>
        <v>#N/A</v>
      </c>
    </row>
    <row r="866" spans="2:4" x14ac:dyDescent="0.2">
      <c r="D866" s="5" t="e">
        <f>VLOOKUP(B866,price!A:B,4,0)</f>
        <v>#N/A</v>
      </c>
    </row>
    <row r="867" spans="2:4" x14ac:dyDescent="0.2">
      <c r="D867" s="5" t="e">
        <f>VLOOKUP(B867,price!A:B,4,0)</f>
        <v>#N/A</v>
      </c>
    </row>
    <row r="868" spans="2:4" x14ac:dyDescent="0.2">
      <c r="B868" s="39"/>
      <c r="D868" s="5" t="e">
        <f>VLOOKUP(B868,price!A:B,4,0)</f>
        <v>#N/A</v>
      </c>
    </row>
    <row r="869" spans="2:4" x14ac:dyDescent="0.2">
      <c r="D869" s="5" t="e">
        <f>VLOOKUP(B869,price!A:B,4,0)</f>
        <v>#N/A</v>
      </c>
    </row>
    <row r="870" spans="2:4" x14ac:dyDescent="0.2">
      <c r="D870" s="5" t="e">
        <f>VLOOKUP(B870,price!A:B,4,0)</f>
        <v>#N/A</v>
      </c>
    </row>
    <row r="871" spans="2:4" x14ac:dyDescent="0.2">
      <c r="D871" s="5" t="e">
        <f>VLOOKUP(B871,price!A:B,4,0)</f>
        <v>#N/A</v>
      </c>
    </row>
    <row r="872" spans="2:4" x14ac:dyDescent="0.2">
      <c r="D872" s="5" t="e">
        <f>VLOOKUP(B872,price!A:B,4,0)</f>
        <v>#N/A</v>
      </c>
    </row>
    <row r="873" spans="2:4" x14ac:dyDescent="0.2">
      <c r="D873" s="5" t="e">
        <f>VLOOKUP(B873,price!A:B,4,0)</f>
        <v>#N/A</v>
      </c>
    </row>
    <row r="874" spans="2:4" x14ac:dyDescent="0.2">
      <c r="B874" s="39"/>
      <c r="D874" s="5" t="e">
        <f>VLOOKUP(B874,price!A:B,4,0)</f>
        <v>#N/A</v>
      </c>
    </row>
    <row r="875" spans="2:4" x14ac:dyDescent="0.2">
      <c r="B875" s="39"/>
      <c r="D875" s="5" t="e">
        <f>VLOOKUP(B875,price!A:B,4,0)</f>
        <v>#N/A</v>
      </c>
    </row>
    <row r="876" spans="2:4" x14ac:dyDescent="0.2">
      <c r="B876" s="39"/>
      <c r="D876" s="5" t="e">
        <f>VLOOKUP(B876,price!A:B,4,0)</f>
        <v>#N/A</v>
      </c>
    </row>
    <row r="877" spans="2:4" x14ac:dyDescent="0.2">
      <c r="D877" s="5" t="e">
        <f>VLOOKUP(B877,price!A:B,4,0)</f>
        <v>#N/A</v>
      </c>
    </row>
    <row r="878" spans="2:4" x14ac:dyDescent="0.2">
      <c r="D878" s="5" t="e">
        <f>VLOOKUP(B878,price!A:B,4,0)</f>
        <v>#N/A</v>
      </c>
    </row>
    <row r="879" spans="2:4" x14ac:dyDescent="0.2">
      <c r="B879" s="39"/>
      <c r="D879" s="5" t="e">
        <f>VLOOKUP(B879,price!A:B,4,0)</f>
        <v>#N/A</v>
      </c>
    </row>
    <row r="880" spans="2:4" x14ac:dyDescent="0.2">
      <c r="B880" s="39"/>
      <c r="D880" s="5" t="e">
        <f>VLOOKUP(B880,price!A:B,4,0)</f>
        <v>#N/A</v>
      </c>
    </row>
    <row r="881" spans="2:4" x14ac:dyDescent="0.2">
      <c r="B881" s="39"/>
      <c r="D881" s="5" t="e">
        <f>VLOOKUP(B881,price!A:B,4,0)</f>
        <v>#N/A</v>
      </c>
    </row>
    <row r="882" spans="2:4" x14ac:dyDescent="0.2">
      <c r="D882" s="5" t="e">
        <f>VLOOKUP(B882,price!A:B,4,0)</f>
        <v>#N/A</v>
      </c>
    </row>
    <row r="883" spans="2:4" x14ac:dyDescent="0.2">
      <c r="D883" s="5" t="e">
        <f>VLOOKUP(B883,price!A:B,4,0)</f>
        <v>#N/A</v>
      </c>
    </row>
    <row r="884" spans="2:4" x14ac:dyDescent="0.2">
      <c r="D884" s="5" t="e">
        <f>VLOOKUP(B884,price!A:B,4,0)</f>
        <v>#N/A</v>
      </c>
    </row>
    <row r="885" spans="2:4" x14ac:dyDescent="0.2">
      <c r="D885" s="5" t="e">
        <f>VLOOKUP(B885,price!A:B,4,0)</f>
        <v>#N/A</v>
      </c>
    </row>
    <row r="886" spans="2:4" x14ac:dyDescent="0.2">
      <c r="D886" s="5" t="e">
        <f>VLOOKUP(B886,price!A:B,4,0)</f>
        <v>#N/A</v>
      </c>
    </row>
    <row r="887" spans="2:4" x14ac:dyDescent="0.2">
      <c r="D887" s="5" t="e">
        <f>VLOOKUP(B887,price!A:B,4,0)</f>
        <v>#N/A</v>
      </c>
    </row>
    <row r="888" spans="2:4" x14ac:dyDescent="0.2">
      <c r="D888" s="5" t="e">
        <f>VLOOKUP(B888,price!A:B,4,0)</f>
        <v>#N/A</v>
      </c>
    </row>
    <row r="889" spans="2:4" x14ac:dyDescent="0.2">
      <c r="D889" s="5" t="e">
        <f>VLOOKUP(B889,price!A:B,4,0)</f>
        <v>#N/A</v>
      </c>
    </row>
    <row r="890" spans="2:4" x14ac:dyDescent="0.2">
      <c r="D890" s="5" t="e">
        <f>VLOOKUP(B890,price!A:B,4,0)</f>
        <v>#N/A</v>
      </c>
    </row>
    <row r="891" spans="2:4" x14ac:dyDescent="0.2">
      <c r="D891" s="5" t="e">
        <f>VLOOKUP(B891,price!A:B,4,0)</f>
        <v>#N/A</v>
      </c>
    </row>
    <row r="892" spans="2:4" x14ac:dyDescent="0.2">
      <c r="D892" s="5" t="e">
        <f>VLOOKUP(B892,price!A:B,4,0)</f>
        <v>#N/A</v>
      </c>
    </row>
    <row r="893" spans="2:4" x14ac:dyDescent="0.2">
      <c r="D893" s="5" t="e">
        <f>VLOOKUP(B893,price!A:B,4,0)</f>
        <v>#N/A</v>
      </c>
    </row>
    <row r="894" spans="2:4" x14ac:dyDescent="0.2">
      <c r="D894" s="5" t="e">
        <f>VLOOKUP(B894,price!A:B,4,0)</f>
        <v>#N/A</v>
      </c>
    </row>
    <row r="895" spans="2:4" x14ac:dyDescent="0.2">
      <c r="D895" s="5" t="e">
        <f>VLOOKUP(B895,price!A:B,4,0)</f>
        <v>#N/A</v>
      </c>
    </row>
    <row r="896" spans="2:4" x14ac:dyDescent="0.2">
      <c r="D896" s="5" t="e">
        <f>VLOOKUP(B896,price!A:B,4,0)</f>
        <v>#N/A</v>
      </c>
    </row>
    <row r="897" spans="4:4" x14ac:dyDescent="0.2">
      <c r="D897" s="5" t="e">
        <f>VLOOKUP(B897,price!A:B,4,0)</f>
        <v>#N/A</v>
      </c>
    </row>
    <row r="898" spans="4:4" x14ac:dyDescent="0.2">
      <c r="D898" s="5" t="e">
        <f>VLOOKUP(B898,price!A:B,4,0)</f>
        <v>#N/A</v>
      </c>
    </row>
    <row r="899" spans="4:4" x14ac:dyDescent="0.2">
      <c r="D899" s="5" t="e">
        <f>VLOOKUP(B899,price!A:B,4,0)</f>
        <v>#N/A</v>
      </c>
    </row>
    <row r="900" spans="4:4" x14ac:dyDescent="0.2">
      <c r="D900" s="5" t="e">
        <f>VLOOKUP(B900,price!A:B,4,0)</f>
        <v>#N/A</v>
      </c>
    </row>
    <row r="901" spans="4:4" x14ac:dyDescent="0.2">
      <c r="D901" s="5" t="e">
        <f>VLOOKUP(B901,price!A:B,4,0)</f>
        <v>#N/A</v>
      </c>
    </row>
    <row r="902" spans="4:4" x14ac:dyDescent="0.2">
      <c r="D902" s="5" t="e">
        <f>VLOOKUP(B902,price!A:B,4,0)</f>
        <v>#N/A</v>
      </c>
    </row>
    <row r="903" spans="4:4" x14ac:dyDescent="0.2">
      <c r="D903" s="5" t="e">
        <f>VLOOKUP(B903,price!A:B,4,0)</f>
        <v>#N/A</v>
      </c>
    </row>
    <row r="904" spans="4:4" x14ac:dyDescent="0.2">
      <c r="D904" s="5" t="e">
        <f>VLOOKUP(B904,price!A:B,4,0)</f>
        <v>#N/A</v>
      </c>
    </row>
    <row r="905" spans="4:4" x14ac:dyDescent="0.2">
      <c r="D905" s="5" t="e">
        <f>VLOOKUP(B905,price!A:B,4,0)</f>
        <v>#N/A</v>
      </c>
    </row>
    <row r="906" spans="4:4" x14ac:dyDescent="0.2">
      <c r="D906" s="5" t="e">
        <f>VLOOKUP(B906,price!A:B,4,0)</f>
        <v>#N/A</v>
      </c>
    </row>
    <row r="907" spans="4:4" x14ac:dyDescent="0.2">
      <c r="D907" s="5" t="e">
        <f>VLOOKUP(B907,price!A:B,4,0)</f>
        <v>#N/A</v>
      </c>
    </row>
    <row r="908" spans="4:4" x14ac:dyDescent="0.2">
      <c r="D908" s="5" t="e">
        <f>VLOOKUP(B908,price!A:B,4,0)</f>
        <v>#N/A</v>
      </c>
    </row>
    <row r="909" spans="4:4" x14ac:dyDescent="0.2">
      <c r="D909" s="5" t="e">
        <f>VLOOKUP(B909,price!A:B,4,0)</f>
        <v>#N/A</v>
      </c>
    </row>
    <row r="910" spans="4:4" x14ac:dyDescent="0.2">
      <c r="D910" s="5" t="e">
        <f>VLOOKUP(B910,price!A:B,4,0)</f>
        <v>#N/A</v>
      </c>
    </row>
    <row r="911" spans="4:4" x14ac:dyDescent="0.2">
      <c r="D911" s="5" t="e">
        <f>VLOOKUP(B911,price!A:B,4,0)</f>
        <v>#N/A</v>
      </c>
    </row>
    <row r="912" spans="4:4" x14ac:dyDescent="0.2">
      <c r="D912" s="5" t="e">
        <f>VLOOKUP(B912,price!A:B,4,0)</f>
        <v>#N/A</v>
      </c>
    </row>
    <row r="913" spans="2:4" x14ac:dyDescent="0.2">
      <c r="D913" s="5" t="e">
        <f>VLOOKUP(B913,price!A:B,4,0)</f>
        <v>#N/A</v>
      </c>
    </row>
    <row r="914" spans="2:4" x14ac:dyDescent="0.2">
      <c r="D914" s="5" t="e">
        <f>VLOOKUP(B914,price!A:B,4,0)</f>
        <v>#N/A</v>
      </c>
    </row>
    <row r="915" spans="2:4" x14ac:dyDescent="0.2">
      <c r="B915" s="39"/>
      <c r="D915" s="5" t="e">
        <f>VLOOKUP(B915,price!A:B,4,0)</f>
        <v>#N/A</v>
      </c>
    </row>
    <row r="916" spans="2:4" x14ac:dyDescent="0.2">
      <c r="D916" s="5" t="e">
        <f>VLOOKUP(B916,price!A:B,4,0)</f>
        <v>#N/A</v>
      </c>
    </row>
    <row r="917" spans="2:4" x14ac:dyDescent="0.2">
      <c r="D917" s="5" t="e">
        <f>VLOOKUP(B917,price!A:B,4,0)</f>
        <v>#N/A</v>
      </c>
    </row>
    <row r="918" spans="2:4" x14ac:dyDescent="0.2">
      <c r="D918" s="5" t="e">
        <f>VLOOKUP(B918,price!A:B,4,0)</f>
        <v>#N/A</v>
      </c>
    </row>
    <row r="919" spans="2:4" x14ac:dyDescent="0.2">
      <c r="D919" s="5" t="e">
        <f>VLOOKUP(B919,price!A:B,4,0)</f>
        <v>#N/A</v>
      </c>
    </row>
    <row r="920" spans="2:4" x14ac:dyDescent="0.2">
      <c r="D920" s="5" t="e">
        <f>VLOOKUP(B920,price!A:B,4,0)</f>
        <v>#N/A</v>
      </c>
    </row>
    <row r="921" spans="2:4" x14ac:dyDescent="0.2">
      <c r="D921" s="5" t="e">
        <f>VLOOKUP(B921,price!A:B,4,0)</f>
        <v>#N/A</v>
      </c>
    </row>
    <row r="922" spans="2:4" x14ac:dyDescent="0.2">
      <c r="D922" s="5" t="e">
        <f>VLOOKUP(B922,price!A:B,4,0)</f>
        <v>#N/A</v>
      </c>
    </row>
    <row r="923" spans="2:4" x14ac:dyDescent="0.2">
      <c r="D923" s="5" t="e">
        <f>VLOOKUP(B923,price!A:B,4,0)</f>
        <v>#N/A</v>
      </c>
    </row>
    <row r="924" spans="2:4" x14ac:dyDescent="0.2">
      <c r="D924" s="5" t="e">
        <f>VLOOKUP(B924,price!A:B,4,0)</f>
        <v>#N/A</v>
      </c>
    </row>
    <row r="925" spans="2:4" x14ac:dyDescent="0.2">
      <c r="D925" s="5" t="e">
        <f>VLOOKUP(B925,price!A:B,4,0)</f>
        <v>#N/A</v>
      </c>
    </row>
    <row r="926" spans="2:4" x14ac:dyDescent="0.2">
      <c r="D926" s="5" t="e">
        <f>VLOOKUP(B926,price!A:B,4,0)</f>
        <v>#N/A</v>
      </c>
    </row>
    <row r="927" spans="2:4" x14ac:dyDescent="0.2">
      <c r="D927" s="5" t="e">
        <f>VLOOKUP(B927,price!A:B,4,0)</f>
        <v>#N/A</v>
      </c>
    </row>
    <row r="928" spans="2:4" x14ac:dyDescent="0.2">
      <c r="D928" s="5" t="e">
        <f>VLOOKUP(B928,price!A:B,4,0)</f>
        <v>#N/A</v>
      </c>
    </row>
    <row r="929" spans="2:4" x14ac:dyDescent="0.2">
      <c r="D929" s="5" t="e">
        <f>VLOOKUP(B929,price!A:B,4,0)</f>
        <v>#N/A</v>
      </c>
    </row>
    <row r="930" spans="2:4" x14ac:dyDescent="0.2">
      <c r="D930" s="5" t="e">
        <f>VLOOKUP(B930,price!A:B,4,0)</f>
        <v>#N/A</v>
      </c>
    </row>
    <row r="931" spans="2:4" x14ac:dyDescent="0.2">
      <c r="D931" s="5" t="e">
        <f>VLOOKUP(B931,price!A:B,4,0)</f>
        <v>#N/A</v>
      </c>
    </row>
    <row r="932" spans="2:4" x14ac:dyDescent="0.2">
      <c r="D932" s="5" t="e">
        <f>VLOOKUP(B932,price!A:B,4,0)</f>
        <v>#N/A</v>
      </c>
    </row>
    <row r="933" spans="2:4" x14ac:dyDescent="0.2">
      <c r="D933" s="5" t="e">
        <f>VLOOKUP(B933,price!A:B,4,0)</f>
        <v>#N/A</v>
      </c>
    </row>
    <row r="934" spans="2:4" x14ac:dyDescent="0.2">
      <c r="D934" s="5" t="e">
        <f>VLOOKUP(B934,price!A:B,4,0)</f>
        <v>#N/A</v>
      </c>
    </row>
    <row r="935" spans="2:4" x14ac:dyDescent="0.2">
      <c r="D935" s="5" t="e">
        <f>VLOOKUP(B935,price!A:B,4,0)</f>
        <v>#N/A</v>
      </c>
    </row>
    <row r="936" spans="2:4" x14ac:dyDescent="0.2">
      <c r="B936" s="39"/>
      <c r="D936" s="5" t="e">
        <f>VLOOKUP(B936,price!A:B,4,0)</f>
        <v>#N/A</v>
      </c>
    </row>
    <row r="937" spans="2:4" x14ac:dyDescent="0.2">
      <c r="D937" s="5" t="e">
        <f>VLOOKUP(B937,price!A:B,4,0)</f>
        <v>#N/A</v>
      </c>
    </row>
    <row r="938" spans="2:4" x14ac:dyDescent="0.2">
      <c r="B938" s="39"/>
      <c r="D938" s="5" t="e">
        <f>VLOOKUP(B938,price!A:B,4,0)</f>
        <v>#N/A</v>
      </c>
    </row>
    <row r="939" spans="2:4" x14ac:dyDescent="0.2">
      <c r="B939" s="39"/>
      <c r="D939" s="5" t="e">
        <f>VLOOKUP(B939,price!A:B,4,0)</f>
        <v>#N/A</v>
      </c>
    </row>
    <row r="940" spans="2:4" x14ac:dyDescent="0.2">
      <c r="B940" s="39"/>
      <c r="D940" s="5" t="e">
        <f>VLOOKUP(B940,price!A:B,4,0)</f>
        <v>#N/A</v>
      </c>
    </row>
    <row r="941" spans="2:4" x14ac:dyDescent="0.2">
      <c r="B941" s="1"/>
      <c r="D941" s="5" t="e">
        <f>VLOOKUP(B941,price!A:B,4,0)</f>
        <v>#N/A</v>
      </c>
    </row>
    <row r="942" spans="2:4" x14ac:dyDescent="0.2">
      <c r="B942" s="1"/>
      <c r="D942" s="5" t="e">
        <f>VLOOKUP(B942,price!A:B,4,0)</f>
        <v>#N/A</v>
      </c>
    </row>
    <row r="943" spans="2:4" x14ac:dyDescent="0.2">
      <c r="B943" s="7"/>
      <c r="D943" s="5" t="e">
        <f>VLOOKUP(B943,price!A:B,4,0)</f>
        <v>#N/A</v>
      </c>
    </row>
    <row r="944" spans="2:4" x14ac:dyDescent="0.2">
      <c r="D944" s="5" t="e">
        <f>VLOOKUP(B944,price!A:B,4,0)</f>
        <v>#N/A</v>
      </c>
    </row>
    <row r="945" spans="1:4" x14ac:dyDescent="0.2">
      <c r="B945" s="7"/>
      <c r="D945" s="5" t="e">
        <f>VLOOKUP(B945,price!A:B,4,0)</f>
        <v>#N/A</v>
      </c>
    </row>
    <row r="946" spans="1:4" x14ac:dyDescent="0.2">
      <c r="D946" s="5" t="e">
        <f>VLOOKUP(B946,price!A:B,4,0)</f>
        <v>#N/A</v>
      </c>
    </row>
    <row r="947" spans="1:4" x14ac:dyDescent="0.2">
      <c r="B947" s="29"/>
      <c r="D947" s="5" t="e">
        <f>VLOOKUP(B947,price!A:B,4,0)</f>
        <v>#N/A</v>
      </c>
    </row>
    <row r="948" spans="1:4" x14ac:dyDescent="0.2">
      <c r="B948" s="1"/>
      <c r="D948" s="5" t="e">
        <f>VLOOKUP(B948,price!A:B,4,0)</f>
        <v>#N/A</v>
      </c>
    </row>
    <row r="949" spans="1:4" x14ac:dyDescent="0.2">
      <c r="D949" s="5" t="e">
        <f>VLOOKUP(B949,price!A:B,4,0)</f>
        <v>#N/A</v>
      </c>
    </row>
    <row r="950" spans="1:4" x14ac:dyDescent="0.2">
      <c r="D950" s="5" t="e">
        <f>VLOOKUP(B950,price!A:B,4,0)</f>
        <v>#N/A</v>
      </c>
    </row>
    <row r="951" spans="1:4" x14ac:dyDescent="0.2">
      <c r="B951" s="53"/>
      <c r="C951" s="54"/>
      <c r="D951" s="55" t="e">
        <f>VLOOKUP(B951,price!A:B,4,0)</f>
        <v>#N/A</v>
      </c>
    </row>
    <row r="952" spans="1:4" x14ac:dyDescent="0.2">
      <c r="D952" s="5" t="e">
        <f>VLOOKUP(B952,price!A:B,4,0)</f>
        <v>#N/A</v>
      </c>
    </row>
    <row r="953" spans="1:4" x14ac:dyDescent="0.2">
      <c r="D953" s="5" t="e">
        <f>VLOOKUP(B953,price!A:B,4,0)</f>
        <v>#N/A</v>
      </c>
    </row>
    <row r="954" spans="1:4" x14ac:dyDescent="0.2">
      <c r="D954" s="5" t="e">
        <f>VLOOKUP(B954,price!A:B,4,0)</f>
        <v>#N/A</v>
      </c>
    </row>
    <row r="955" spans="1:4" x14ac:dyDescent="0.2">
      <c r="D955" s="5" t="e">
        <f>VLOOKUP(B955,price!A:B,4,0)</f>
        <v>#N/A</v>
      </c>
    </row>
    <row r="956" spans="1:4" x14ac:dyDescent="0.2">
      <c r="D956" s="5" t="e">
        <f>VLOOKUP(B956,price!A:B,4,0)</f>
        <v>#N/A</v>
      </c>
    </row>
    <row r="957" spans="1:4" s="1" customFormat="1" x14ac:dyDescent="0.2">
      <c r="A957" s="13"/>
      <c r="B957" s="12"/>
      <c r="C957" s="3"/>
      <c r="D957" s="5" t="e">
        <f>VLOOKUP(B957,price!A:B,4,0)</f>
        <v>#N/A</v>
      </c>
    </row>
    <row r="958" spans="1:4" s="1" customFormat="1" x14ac:dyDescent="0.2">
      <c r="A958" s="13"/>
      <c r="B958" s="12"/>
      <c r="C958" s="3"/>
      <c r="D958" s="5" t="e">
        <f>VLOOKUP(B958,price!A:B,4,0)</f>
        <v>#N/A</v>
      </c>
    </row>
    <row r="959" spans="1:4" s="1" customFormat="1" x14ac:dyDescent="0.2">
      <c r="A959" s="13"/>
      <c r="B959" s="12"/>
      <c r="C959" s="3"/>
      <c r="D959" s="5" t="e">
        <f>VLOOKUP(B959,price!A:B,4,0)</f>
        <v>#N/A</v>
      </c>
    </row>
    <row r="960" spans="1:4" s="1" customFormat="1" x14ac:dyDescent="0.2">
      <c r="A960" s="13"/>
      <c r="B960" s="12"/>
      <c r="C960" s="3"/>
      <c r="D960" s="5" t="e">
        <f>VLOOKUP(B960,price!A:B,4,0)</f>
        <v>#N/A</v>
      </c>
    </row>
    <row r="961" spans="1:4" s="1" customFormat="1" x14ac:dyDescent="0.2">
      <c r="A961" s="13"/>
      <c r="B961" s="12"/>
      <c r="C961" s="3"/>
      <c r="D961" s="5" t="e">
        <f>VLOOKUP(B961,price!A:B,4,0)</f>
        <v>#N/A</v>
      </c>
    </row>
    <row r="962" spans="1:4" s="1" customFormat="1" x14ac:dyDescent="0.2">
      <c r="A962" s="13"/>
      <c r="B962" s="12"/>
      <c r="C962" s="3"/>
      <c r="D962" s="5" t="e">
        <f>VLOOKUP(B962,price!A:B,4,0)</f>
        <v>#N/A</v>
      </c>
    </row>
    <row r="963" spans="1:4" x14ac:dyDescent="0.2">
      <c r="D963" s="5" t="e">
        <f>VLOOKUP(B963,price!A:B,4,0)</f>
        <v>#N/A</v>
      </c>
    </row>
    <row r="964" spans="1:4" x14ac:dyDescent="0.2">
      <c r="D964" s="5"/>
    </row>
    <row r="965" spans="1:4" x14ac:dyDescent="0.2">
      <c r="D965" s="5"/>
    </row>
    <row r="966" spans="1:4" x14ac:dyDescent="0.2">
      <c r="D966" s="5"/>
    </row>
    <row r="967" spans="1:4" x14ac:dyDescent="0.2">
      <c r="D967" s="5"/>
    </row>
    <row r="968" spans="1:4" x14ac:dyDescent="0.2">
      <c r="D968" s="5"/>
    </row>
    <row r="969" spans="1:4" x14ac:dyDescent="0.2">
      <c r="D969" s="5"/>
    </row>
    <row r="970" spans="1:4" x14ac:dyDescent="0.2">
      <c r="D970" s="5"/>
    </row>
    <row r="971" spans="1:4" x14ac:dyDescent="0.2">
      <c r="D971" s="5"/>
    </row>
    <row r="972" spans="1:4" x14ac:dyDescent="0.2">
      <c r="D972" s="5"/>
    </row>
    <row r="973" spans="1:4" x14ac:dyDescent="0.2">
      <c r="D973" s="5"/>
    </row>
    <row r="974" spans="1:4" x14ac:dyDescent="0.2">
      <c r="D974" s="5"/>
    </row>
    <row r="975" spans="1:4" x14ac:dyDescent="0.2">
      <c r="D975" s="5"/>
    </row>
    <row r="976" spans="1:4" x14ac:dyDescent="0.2">
      <c r="D976" s="5"/>
    </row>
    <row r="977" spans="4:4" x14ac:dyDescent="0.2">
      <c r="D977" s="5"/>
    </row>
    <row r="978" spans="4:4" x14ac:dyDescent="0.2">
      <c r="D978" s="5"/>
    </row>
    <row r="979" spans="4:4" x14ac:dyDescent="0.2">
      <c r="D979" s="5"/>
    </row>
    <row r="980" spans="4:4" x14ac:dyDescent="0.2">
      <c r="D980" s="5"/>
    </row>
    <row r="981" spans="4:4" x14ac:dyDescent="0.2">
      <c r="D981" s="5"/>
    </row>
    <row r="982" spans="4:4" x14ac:dyDescent="0.2">
      <c r="D982" s="5"/>
    </row>
    <row r="983" spans="4:4" x14ac:dyDescent="0.2">
      <c r="D983" s="5"/>
    </row>
    <row r="984" spans="4:4" x14ac:dyDescent="0.2">
      <c r="D984" s="5"/>
    </row>
    <row r="985" spans="4:4" x14ac:dyDescent="0.2">
      <c r="D985" s="5"/>
    </row>
    <row r="986" spans="4:4" x14ac:dyDescent="0.2">
      <c r="D986" s="5"/>
    </row>
    <row r="987" spans="4:4" x14ac:dyDescent="0.2">
      <c r="D987" s="5"/>
    </row>
    <row r="988" spans="4:4" x14ac:dyDescent="0.2">
      <c r="D988" s="5"/>
    </row>
    <row r="989" spans="4:4" x14ac:dyDescent="0.2">
      <c r="D989" s="5"/>
    </row>
    <row r="990" spans="4:4" x14ac:dyDescent="0.2">
      <c r="D990" s="5"/>
    </row>
    <row r="991" spans="4:4" x14ac:dyDescent="0.2">
      <c r="D991" s="5"/>
    </row>
    <row r="992" spans="4:4" x14ac:dyDescent="0.2">
      <c r="D992" s="5"/>
    </row>
    <row r="993" spans="4:4" x14ac:dyDescent="0.2">
      <c r="D993" s="5"/>
    </row>
    <row r="994" spans="4:4" x14ac:dyDescent="0.2">
      <c r="D994" s="5"/>
    </row>
    <row r="995" spans="4:4" x14ac:dyDescent="0.2">
      <c r="D995" s="5"/>
    </row>
    <row r="996" spans="4:4" x14ac:dyDescent="0.2">
      <c r="D996" s="5"/>
    </row>
    <row r="997" spans="4:4" x14ac:dyDescent="0.2">
      <c r="D997" s="5"/>
    </row>
    <row r="998" spans="4:4" x14ac:dyDescent="0.2">
      <c r="D998" s="5"/>
    </row>
    <row r="999" spans="4:4" x14ac:dyDescent="0.2">
      <c r="D999" s="5"/>
    </row>
    <row r="1000" spans="4:4" x14ac:dyDescent="0.2">
      <c r="D1000" s="5"/>
    </row>
    <row r="1001" spans="4:4" x14ac:dyDescent="0.2">
      <c r="D1001" s="5"/>
    </row>
    <row r="1002" spans="4:4" x14ac:dyDescent="0.2">
      <c r="D1002" s="5"/>
    </row>
    <row r="1003" spans="4:4" x14ac:dyDescent="0.2">
      <c r="D1003" s="5"/>
    </row>
    <row r="1004" spans="4:4" x14ac:dyDescent="0.2">
      <c r="D1004" s="5"/>
    </row>
    <row r="1005" spans="4:4" x14ac:dyDescent="0.2">
      <c r="D1005" s="5"/>
    </row>
    <row r="1006" spans="4:4" x14ac:dyDescent="0.2">
      <c r="D1006" s="5"/>
    </row>
    <row r="1007" spans="4:4" x14ac:dyDescent="0.2">
      <c r="D1007" s="5"/>
    </row>
    <row r="1008" spans="4:4" x14ac:dyDescent="0.2">
      <c r="D1008" s="5"/>
    </row>
    <row r="1009" spans="4:4" x14ac:dyDescent="0.2">
      <c r="D1009" s="5"/>
    </row>
    <row r="1010" spans="4:4" x14ac:dyDescent="0.2">
      <c r="D1010" s="5"/>
    </row>
    <row r="1011" spans="4:4" x14ac:dyDescent="0.2">
      <c r="D1011" s="5"/>
    </row>
    <row r="1012" spans="4:4" x14ac:dyDescent="0.2">
      <c r="D1012" s="5"/>
    </row>
    <row r="1013" spans="4:4" x14ac:dyDescent="0.2">
      <c r="D1013" s="5"/>
    </row>
    <row r="1014" spans="4:4" x14ac:dyDescent="0.2">
      <c r="D1014" s="5"/>
    </row>
    <row r="1015" spans="4:4" x14ac:dyDescent="0.2">
      <c r="D1015" s="5"/>
    </row>
    <row r="1016" spans="4:4" x14ac:dyDescent="0.2">
      <c r="D1016" s="5"/>
    </row>
    <row r="1017" spans="4:4" x14ac:dyDescent="0.2">
      <c r="D1017" s="5"/>
    </row>
    <row r="1018" spans="4:4" x14ac:dyDescent="0.2">
      <c r="D1018" s="5"/>
    </row>
    <row r="1019" spans="4:4" x14ac:dyDescent="0.2">
      <c r="D1019" s="5"/>
    </row>
    <row r="1020" spans="4:4" x14ac:dyDescent="0.2">
      <c r="D1020" s="5"/>
    </row>
    <row r="1021" spans="4:4" x14ac:dyDescent="0.2">
      <c r="D1021" s="5"/>
    </row>
    <row r="1022" spans="4:4" x14ac:dyDescent="0.2">
      <c r="D1022" s="5"/>
    </row>
    <row r="1023" spans="4:4" x14ac:dyDescent="0.2">
      <c r="D1023" s="5"/>
    </row>
    <row r="1024" spans="4:4" x14ac:dyDescent="0.2">
      <c r="D1024" s="5"/>
    </row>
    <row r="1025" spans="4:4" x14ac:dyDescent="0.2">
      <c r="D1025" s="5"/>
    </row>
    <row r="1026" spans="4:4" x14ac:dyDescent="0.2">
      <c r="D1026" s="5"/>
    </row>
    <row r="1027" spans="4:4" x14ac:dyDescent="0.2">
      <c r="D1027" s="5"/>
    </row>
    <row r="1028" spans="4:4" x14ac:dyDescent="0.2">
      <c r="D1028" s="5"/>
    </row>
    <row r="1029" spans="4:4" x14ac:dyDescent="0.2">
      <c r="D1029" s="5"/>
    </row>
    <row r="1030" spans="4:4" x14ac:dyDescent="0.2">
      <c r="D1030" s="5"/>
    </row>
    <row r="1031" spans="4:4" x14ac:dyDescent="0.2">
      <c r="D1031" s="5"/>
    </row>
    <row r="1032" spans="4:4" x14ac:dyDescent="0.2">
      <c r="D1032" s="5"/>
    </row>
    <row r="1033" spans="4:4" x14ac:dyDescent="0.2">
      <c r="D1033" s="5"/>
    </row>
    <row r="1034" spans="4:4" x14ac:dyDescent="0.2">
      <c r="D1034" s="5"/>
    </row>
    <row r="1035" spans="4:4" x14ac:dyDescent="0.2">
      <c r="D1035" s="5"/>
    </row>
    <row r="1036" spans="4:4" x14ac:dyDescent="0.2">
      <c r="D1036" s="5"/>
    </row>
    <row r="1037" spans="4:4" x14ac:dyDescent="0.2">
      <c r="D1037" s="5"/>
    </row>
    <row r="1038" spans="4:4" x14ac:dyDescent="0.2">
      <c r="D1038" s="5"/>
    </row>
    <row r="1039" spans="4:4" x14ac:dyDescent="0.2">
      <c r="D1039" s="5"/>
    </row>
    <row r="1040" spans="4:4" x14ac:dyDescent="0.2">
      <c r="D1040" s="5"/>
    </row>
    <row r="1041" spans="4:4" x14ac:dyDescent="0.2">
      <c r="D1041" s="5"/>
    </row>
    <row r="1042" spans="4:4" x14ac:dyDescent="0.2">
      <c r="D1042" s="5"/>
    </row>
    <row r="1043" spans="4:4" x14ac:dyDescent="0.2">
      <c r="D1043" s="5"/>
    </row>
    <row r="1044" spans="4:4" x14ac:dyDescent="0.2">
      <c r="D1044" s="5"/>
    </row>
    <row r="1045" spans="4:4" x14ac:dyDescent="0.2">
      <c r="D1045" s="5"/>
    </row>
    <row r="1046" spans="4:4" x14ac:dyDescent="0.2">
      <c r="D1046" s="5"/>
    </row>
    <row r="1047" spans="4:4" x14ac:dyDescent="0.2">
      <c r="D1047" s="5"/>
    </row>
    <row r="1048" spans="4:4" x14ac:dyDescent="0.2">
      <c r="D1048" s="5"/>
    </row>
    <row r="1049" spans="4:4" x14ac:dyDescent="0.2">
      <c r="D1049" s="5"/>
    </row>
    <row r="1050" spans="4:4" x14ac:dyDescent="0.2">
      <c r="D1050" s="5"/>
    </row>
    <row r="1051" spans="4:4" x14ac:dyDescent="0.2">
      <c r="D1051" s="5"/>
    </row>
    <row r="1052" spans="4:4" x14ac:dyDescent="0.2">
      <c r="D1052" s="5"/>
    </row>
    <row r="1053" spans="4:4" x14ac:dyDescent="0.2">
      <c r="D1053" s="5"/>
    </row>
    <row r="1054" spans="4:4" x14ac:dyDescent="0.2">
      <c r="D1054" s="5"/>
    </row>
    <row r="1055" spans="4:4" x14ac:dyDescent="0.2">
      <c r="D1055" s="5"/>
    </row>
    <row r="1056" spans="4:4" x14ac:dyDescent="0.2">
      <c r="D1056" s="5"/>
    </row>
    <row r="1057" spans="4:4" x14ac:dyDescent="0.2">
      <c r="D1057" s="5"/>
    </row>
    <row r="1058" spans="4:4" x14ac:dyDescent="0.2">
      <c r="D1058" s="5"/>
    </row>
    <row r="1059" spans="4:4" x14ac:dyDescent="0.2">
      <c r="D1059" s="5"/>
    </row>
    <row r="1060" spans="4:4" x14ac:dyDescent="0.2">
      <c r="D1060" s="5"/>
    </row>
    <row r="1061" spans="4:4" x14ac:dyDescent="0.2">
      <c r="D1061" s="5"/>
    </row>
    <row r="1062" spans="4:4" x14ac:dyDescent="0.2">
      <c r="D1062" s="5"/>
    </row>
    <row r="1063" spans="4:4" x14ac:dyDescent="0.2">
      <c r="D1063" s="5"/>
    </row>
    <row r="1064" spans="4:4" x14ac:dyDescent="0.2">
      <c r="D1064" s="5"/>
    </row>
    <row r="1065" spans="4:4" x14ac:dyDescent="0.2">
      <c r="D1065" s="5"/>
    </row>
    <row r="1066" spans="4:4" x14ac:dyDescent="0.2">
      <c r="D1066" s="5"/>
    </row>
    <row r="1067" spans="4:4" x14ac:dyDescent="0.2">
      <c r="D1067" s="5"/>
    </row>
    <row r="1068" spans="4:4" x14ac:dyDescent="0.2">
      <c r="D1068" s="5"/>
    </row>
    <row r="1069" spans="4:4" x14ac:dyDescent="0.2">
      <c r="D1069" s="5"/>
    </row>
    <row r="1070" spans="4:4" x14ac:dyDescent="0.2">
      <c r="D1070" s="5"/>
    </row>
    <row r="1071" spans="4:4" x14ac:dyDescent="0.2">
      <c r="D1071" s="5"/>
    </row>
    <row r="1072" spans="4:4" x14ac:dyDescent="0.2">
      <c r="D1072" s="5"/>
    </row>
    <row r="1073" spans="4:4" x14ac:dyDescent="0.2">
      <c r="D1073" s="5"/>
    </row>
    <row r="1074" spans="4:4" x14ac:dyDescent="0.2">
      <c r="D1074" s="5"/>
    </row>
    <row r="1075" spans="4:4" x14ac:dyDescent="0.2">
      <c r="D1075" s="5"/>
    </row>
    <row r="1076" spans="4:4" x14ac:dyDescent="0.2">
      <c r="D1076" s="5"/>
    </row>
    <row r="1077" spans="4:4" x14ac:dyDescent="0.2">
      <c r="D1077" s="5"/>
    </row>
    <row r="1078" spans="4:4" x14ac:dyDescent="0.2">
      <c r="D1078" s="5"/>
    </row>
    <row r="1079" spans="4:4" x14ac:dyDescent="0.2">
      <c r="D1079" s="5"/>
    </row>
    <row r="1080" spans="4:4" x14ac:dyDescent="0.2">
      <c r="D1080" s="5"/>
    </row>
    <row r="1081" spans="4:4" x14ac:dyDescent="0.2">
      <c r="D1081" s="5"/>
    </row>
    <row r="1082" spans="4:4" x14ac:dyDescent="0.2">
      <c r="D1082" s="5"/>
    </row>
    <row r="1083" spans="4:4" x14ac:dyDescent="0.2">
      <c r="D1083" s="5"/>
    </row>
    <row r="1084" spans="4:4" x14ac:dyDescent="0.2">
      <c r="D1084" s="5"/>
    </row>
    <row r="1085" spans="4:4" x14ac:dyDescent="0.2">
      <c r="D1085" s="5"/>
    </row>
    <row r="1086" spans="4:4" x14ac:dyDescent="0.2">
      <c r="D1086" s="5"/>
    </row>
    <row r="1087" spans="4:4" x14ac:dyDescent="0.2">
      <c r="D1087" s="5"/>
    </row>
    <row r="1088" spans="4:4" x14ac:dyDescent="0.2">
      <c r="D1088" s="5"/>
    </row>
    <row r="1089" spans="4:4" x14ac:dyDescent="0.2">
      <c r="D1089" s="5"/>
    </row>
    <row r="1090" spans="4:4" x14ac:dyDescent="0.2">
      <c r="D1090" s="5"/>
    </row>
    <row r="1091" spans="4:4" x14ac:dyDescent="0.2">
      <c r="D1091" s="5"/>
    </row>
    <row r="1092" spans="4:4" x14ac:dyDescent="0.2">
      <c r="D1092" s="5"/>
    </row>
    <row r="1093" spans="4:4" x14ac:dyDescent="0.2">
      <c r="D1093" s="5"/>
    </row>
    <row r="1094" spans="4:4" x14ac:dyDescent="0.2">
      <c r="D1094" s="5"/>
    </row>
    <row r="1095" spans="4:4" x14ac:dyDescent="0.2">
      <c r="D1095" s="5"/>
    </row>
    <row r="1096" spans="4:4" x14ac:dyDescent="0.2">
      <c r="D1096" s="5"/>
    </row>
    <row r="1097" spans="4:4" x14ac:dyDescent="0.2">
      <c r="D1097" s="5"/>
    </row>
    <row r="1098" spans="4:4" x14ac:dyDescent="0.2">
      <c r="D1098" s="5"/>
    </row>
    <row r="1099" spans="4:4" x14ac:dyDescent="0.2">
      <c r="D1099" s="5"/>
    </row>
    <row r="1100" spans="4:4" x14ac:dyDescent="0.2">
      <c r="D1100" s="5"/>
    </row>
    <row r="1101" spans="4:4" x14ac:dyDescent="0.2">
      <c r="D1101" s="5"/>
    </row>
    <row r="1102" spans="4:4" x14ac:dyDescent="0.2">
      <c r="D1102" s="5"/>
    </row>
    <row r="1103" spans="4:4" x14ac:dyDescent="0.2">
      <c r="D1103" s="5"/>
    </row>
    <row r="1104" spans="4:4" x14ac:dyDescent="0.2">
      <c r="D1104" s="5"/>
    </row>
    <row r="1105" spans="4:4" x14ac:dyDescent="0.2">
      <c r="D1105" s="5"/>
    </row>
    <row r="1106" spans="4:4" x14ac:dyDescent="0.2">
      <c r="D1106" s="5"/>
    </row>
    <row r="1107" spans="4:4" x14ac:dyDescent="0.2">
      <c r="D1107" s="5"/>
    </row>
    <row r="1108" spans="4:4" x14ac:dyDescent="0.2">
      <c r="D1108" s="5"/>
    </row>
    <row r="1109" spans="4:4" x14ac:dyDescent="0.2">
      <c r="D1109" s="5"/>
    </row>
    <row r="1110" spans="4:4" x14ac:dyDescent="0.2">
      <c r="D1110" s="5"/>
    </row>
    <row r="1111" spans="4:4" x14ac:dyDescent="0.2">
      <c r="D1111" s="5"/>
    </row>
    <row r="1112" spans="4:4" x14ac:dyDescent="0.2">
      <c r="D1112" s="5"/>
    </row>
    <row r="1113" spans="4:4" x14ac:dyDescent="0.2">
      <c r="D1113" s="5"/>
    </row>
    <row r="1114" spans="4:4" x14ac:dyDescent="0.2">
      <c r="D1114" s="5"/>
    </row>
    <row r="1115" spans="4:4" x14ac:dyDescent="0.2">
      <c r="D1115" s="5"/>
    </row>
    <row r="1116" spans="4:4" x14ac:dyDescent="0.2">
      <c r="D1116" s="5"/>
    </row>
    <row r="1117" spans="4:4" x14ac:dyDescent="0.2">
      <c r="D1117" s="5"/>
    </row>
    <row r="1118" spans="4:4" x14ac:dyDescent="0.2">
      <c r="D1118" s="5"/>
    </row>
    <row r="1119" spans="4:4" x14ac:dyDescent="0.2">
      <c r="D1119" s="5"/>
    </row>
    <row r="1120" spans="4:4" x14ac:dyDescent="0.2">
      <c r="D1120" s="5"/>
    </row>
    <row r="1121" spans="4:4" x14ac:dyDescent="0.2">
      <c r="D1121" s="5"/>
    </row>
    <row r="1122" spans="4:4" x14ac:dyDescent="0.2">
      <c r="D1122" s="5"/>
    </row>
    <row r="1123" spans="4:4" x14ac:dyDescent="0.2">
      <c r="D1123" s="5"/>
    </row>
    <row r="1124" spans="4:4" x14ac:dyDescent="0.2">
      <c r="D1124" s="5"/>
    </row>
    <row r="1125" spans="4:4" x14ac:dyDescent="0.2">
      <c r="D1125" s="5"/>
    </row>
    <row r="1126" spans="4:4" x14ac:dyDescent="0.2">
      <c r="D1126" s="5"/>
    </row>
    <row r="1127" spans="4:4" x14ac:dyDescent="0.2">
      <c r="D1127" s="5"/>
    </row>
    <row r="1128" spans="4:4" x14ac:dyDescent="0.2">
      <c r="D1128" s="5"/>
    </row>
    <row r="1129" spans="4:4" x14ac:dyDescent="0.2">
      <c r="D1129" s="5"/>
    </row>
    <row r="1130" spans="4:4" x14ac:dyDescent="0.2">
      <c r="D1130" s="5"/>
    </row>
    <row r="1131" spans="4:4" x14ac:dyDescent="0.2">
      <c r="D1131" s="5"/>
    </row>
    <row r="1132" spans="4:4" x14ac:dyDescent="0.2">
      <c r="D1132" s="5"/>
    </row>
    <row r="1133" spans="4:4" x14ac:dyDescent="0.2">
      <c r="D1133" s="5"/>
    </row>
    <row r="1134" spans="4:4" x14ac:dyDescent="0.2">
      <c r="D1134" s="5"/>
    </row>
    <row r="1135" spans="4:4" x14ac:dyDescent="0.2">
      <c r="D1135" s="5"/>
    </row>
    <row r="1136" spans="4:4" x14ac:dyDescent="0.2">
      <c r="D1136" s="5"/>
    </row>
    <row r="1137" spans="4:4" x14ac:dyDescent="0.2">
      <c r="D1137" s="5"/>
    </row>
    <row r="1138" spans="4:4" x14ac:dyDescent="0.2">
      <c r="D1138" s="5"/>
    </row>
    <row r="1139" spans="4:4" x14ac:dyDescent="0.2">
      <c r="D1139" s="5"/>
    </row>
    <row r="1140" spans="4:4" x14ac:dyDescent="0.2">
      <c r="D1140" s="5"/>
    </row>
    <row r="1141" spans="4:4" x14ac:dyDescent="0.2">
      <c r="D1141" s="5"/>
    </row>
    <row r="1142" spans="4:4" x14ac:dyDescent="0.2">
      <c r="D1142" s="5"/>
    </row>
    <row r="1143" spans="4:4" x14ac:dyDescent="0.2">
      <c r="D1143" s="5"/>
    </row>
    <row r="1144" spans="4:4" x14ac:dyDescent="0.2">
      <c r="D1144" s="5"/>
    </row>
    <row r="1145" spans="4:4" x14ac:dyDescent="0.2">
      <c r="D1145" s="5"/>
    </row>
    <row r="1146" spans="4:4" x14ac:dyDescent="0.2">
      <c r="D1146" s="5"/>
    </row>
    <row r="1147" spans="4:4" x14ac:dyDescent="0.2">
      <c r="D1147" s="5"/>
    </row>
    <row r="1148" spans="4:4" x14ac:dyDescent="0.2">
      <c r="D1148" s="5"/>
    </row>
    <row r="1149" spans="4:4" x14ac:dyDescent="0.2">
      <c r="D1149" s="5"/>
    </row>
    <row r="1150" spans="4:4" x14ac:dyDescent="0.2">
      <c r="D1150" s="5"/>
    </row>
    <row r="1151" spans="4:4" x14ac:dyDescent="0.2">
      <c r="D1151" s="5"/>
    </row>
    <row r="1152" spans="4:4" x14ac:dyDescent="0.2">
      <c r="D1152" s="5"/>
    </row>
    <row r="1153" spans="4:4" x14ac:dyDescent="0.2">
      <c r="D1153" s="5"/>
    </row>
    <row r="1154" spans="4:4" x14ac:dyDescent="0.2">
      <c r="D1154" s="5"/>
    </row>
    <row r="1155" spans="4:4" x14ac:dyDescent="0.2">
      <c r="D1155" s="5"/>
    </row>
    <row r="1156" spans="4:4" x14ac:dyDescent="0.2">
      <c r="D1156" s="5"/>
    </row>
    <row r="1157" spans="4:4" x14ac:dyDescent="0.2">
      <c r="D1157" s="5"/>
    </row>
    <row r="1158" spans="4:4" x14ac:dyDescent="0.2">
      <c r="D1158" s="5"/>
    </row>
    <row r="1159" spans="4:4" x14ac:dyDescent="0.2">
      <c r="D1159" s="5"/>
    </row>
    <row r="1160" spans="4:4" x14ac:dyDescent="0.2">
      <c r="D1160" s="5"/>
    </row>
    <row r="1161" spans="4:4" x14ac:dyDescent="0.2">
      <c r="D1161" s="5"/>
    </row>
    <row r="1162" spans="4:4" x14ac:dyDescent="0.2">
      <c r="D1162" s="5"/>
    </row>
    <row r="1163" spans="4:4" x14ac:dyDescent="0.2">
      <c r="D1163" s="5"/>
    </row>
    <row r="1164" spans="4:4" x14ac:dyDescent="0.2">
      <c r="D1164" s="5"/>
    </row>
    <row r="1165" spans="4:4" x14ac:dyDescent="0.2">
      <c r="D1165" s="5"/>
    </row>
    <row r="1166" spans="4:4" x14ac:dyDescent="0.2">
      <c r="D1166" s="5"/>
    </row>
    <row r="1167" spans="4:4" x14ac:dyDescent="0.2">
      <c r="D1167" s="5"/>
    </row>
    <row r="1168" spans="4:4" x14ac:dyDescent="0.2">
      <c r="D1168" s="5"/>
    </row>
    <row r="1169" spans="4:4" x14ac:dyDescent="0.2">
      <c r="D1169" s="5"/>
    </row>
    <row r="1170" spans="4:4" x14ac:dyDescent="0.2">
      <c r="D1170" s="5"/>
    </row>
    <row r="1171" spans="4:4" x14ac:dyDescent="0.2">
      <c r="D1171" s="5"/>
    </row>
    <row r="1172" spans="4:4" x14ac:dyDescent="0.2">
      <c r="D1172" s="5"/>
    </row>
    <row r="1173" spans="4:4" x14ac:dyDescent="0.2">
      <c r="D1173" s="5"/>
    </row>
    <row r="1174" spans="4:4" x14ac:dyDescent="0.2">
      <c r="D1174" s="5"/>
    </row>
    <row r="1175" spans="4:4" x14ac:dyDescent="0.2">
      <c r="D1175" s="5"/>
    </row>
    <row r="1176" spans="4:4" x14ac:dyDescent="0.2">
      <c r="D1176" s="5"/>
    </row>
    <row r="1177" spans="4:4" x14ac:dyDescent="0.2">
      <c r="D1177" s="5"/>
    </row>
    <row r="1178" spans="4:4" x14ac:dyDescent="0.2">
      <c r="D1178" s="5"/>
    </row>
    <row r="1179" spans="4:4" x14ac:dyDescent="0.2">
      <c r="D1179" s="5"/>
    </row>
    <row r="1180" spans="4:4" x14ac:dyDescent="0.2">
      <c r="D1180" s="5"/>
    </row>
    <row r="1181" spans="4:4" x14ac:dyDescent="0.2">
      <c r="D1181" s="5"/>
    </row>
    <row r="1182" spans="4:4" x14ac:dyDescent="0.2">
      <c r="D1182" s="5"/>
    </row>
    <row r="1183" spans="4:4" x14ac:dyDescent="0.2">
      <c r="D1183" s="5"/>
    </row>
    <row r="1184" spans="4:4" x14ac:dyDescent="0.2">
      <c r="D1184" s="5"/>
    </row>
    <row r="1185" spans="4:4" x14ac:dyDescent="0.2">
      <c r="D1185" s="5"/>
    </row>
    <row r="1186" spans="4:4" x14ac:dyDescent="0.2">
      <c r="D1186" s="5"/>
    </row>
    <row r="1187" spans="4:4" x14ac:dyDescent="0.2">
      <c r="D1187" s="5"/>
    </row>
    <row r="1188" spans="4:4" x14ac:dyDescent="0.2">
      <c r="D1188" s="5"/>
    </row>
    <row r="1189" spans="4:4" x14ac:dyDescent="0.2">
      <c r="D1189" s="5"/>
    </row>
    <row r="1190" spans="4:4" x14ac:dyDescent="0.2">
      <c r="D1190" s="5"/>
    </row>
    <row r="1191" spans="4:4" x14ac:dyDescent="0.2">
      <c r="D1191" s="5"/>
    </row>
    <row r="1192" spans="4:4" x14ac:dyDescent="0.2">
      <c r="D1192" s="5"/>
    </row>
    <row r="1193" spans="4:4" x14ac:dyDescent="0.2">
      <c r="D1193" s="5"/>
    </row>
    <row r="1194" spans="4:4" x14ac:dyDescent="0.2">
      <c r="D1194" s="5"/>
    </row>
    <row r="1195" spans="4:4" x14ac:dyDescent="0.2">
      <c r="D1195" s="5"/>
    </row>
    <row r="1196" spans="4:4" x14ac:dyDescent="0.2">
      <c r="D1196" s="5"/>
    </row>
    <row r="1197" spans="4:4" x14ac:dyDescent="0.2">
      <c r="D1197" s="5"/>
    </row>
    <row r="1198" spans="4:4" x14ac:dyDescent="0.2">
      <c r="D1198" s="5"/>
    </row>
    <row r="1199" spans="4:4" x14ac:dyDescent="0.2">
      <c r="D1199" s="5"/>
    </row>
    <row r="1200" spans="4:4" x14ac:dyDescent="0.2">
      <c r="D1200" s="5"/>
    </row>
    <row r="1201" spans="4:4" x14ac:dyDescent="0.2">
      <c r="D1201" s="5"/>
    </row>
    <row r="1202" spans="4:4" x14ac:dyDescent="0.2">
      <c r="D1202" s="5"/>
    </row>
    <row r="1203" spans="4:4" x14ac:dyDescent="0.2">
      <c r="D1203" s="5"/>
    </row>
    <row r="1205" spans="4:4" x14ac:dyDescent="0.2">
      <c r="D1205" s="5" t="e">
        <f>VLOOKUP(B1206,price!A:B,6,0)</f>
        <v>#N/A</v>
      </c>
    </row>
    <row r="1206" spans="4:4" x14ac:dyDescent="0.2">
      <c r="D1206" s="5" t="e">
        <f>VLOOKUP(B1207,price!A:B,6,0)</f>
        <v>#N/A</v>
      </c>
    </row>
    <row r="1207" spans="4:4" x14ac:dyDescent="0.2">
      <c r="D1207" s="5" t="e">
        <f>VLOOKUP(B1208,price!A:B,6,0)</f>
        <v>#N/A</v>
      </c>
    </row>
    <row r="1208" spans="4:4" x14ac:dyDescent="0.2">
      <c r="D1208" s="5" t="e">
        <f>VLOOKUP(B1209,price!A:B,6,0)</f>
        <v>#N/A</v>
      </c>
    </row>
    <row r="1209" spans="4:4" x14ac:dyDescent="0.2">
      <c r="D1209" s="5" t="e">
        <f>VLOOKUP(B1210,price!A:B,6,0)</f>
        <v>#N/A</v>
      </c>
    </row>
    <row r="1210" spans="4:4" x14ac:dyDescent="0.2">
      <c r="D1210" s="5" t="e">
        <f>VLOOKUP(B1211,price!A:B,6,0)</f>
        <v>#N/A</v>
      </c>
    </row>
    <row r="1212" spans="4:4" x14ac:dyDescent="0.2">
      <c r="D1212" s="5" t="e">
        <f>VLOOKUP(B1213,price!A:B,6,0)</f>
        <v>#N/A</v>
      </c>
    </row>
    <row r="1213" spans="4:4" x14ac:dyDescent="0.2">
      <c r="D1213" s="5" t="e">
        <f>VLOOKUP(B1214,price!A:B,6,0)</f>
        <v>#N/A</v>
      </c>
    </row>
    <row r="1214" spans="4:4" x14ac:dyDescent="0.2">
      <c r="D1214" s="5" t="e">
        <f>VLOOKUP(B1215,price!A:B,6,0)</f>
        <v>#N/A</v>
      </c>
    </row>
    <row r="1216" spans="4:4" x14ac:dyDescent="0.2">
      <c r="D1216" s="5" t="e">
        <f>VLOOKUP(B1217,price!A:B,6,0)</f>
        <v>#N/A</v>
      </c>
    </row>
    <row r="1217" spans="4:4" x14ac:dyDescent="0.2">
      <c r="D1217" s="5" t="e">
        <f>VLOOKUP(B1218,price!A:B,6,0)</f>
        <v>#N/A</v>
      </c>
    </row>
    <row r="1218" spans="4:4" x14ac:dyDescent="0.2">
      <c r="D1218" s="5" t="e">
        <f>VLOOKUP(B1219,price!A:B,6,0)</f>
        <v>#N/A</v>
      </c>
    </row>
    <row r="1219" spans="4:4" x14ac:dyDescent="0.2">
      <c r="D1219" s="5" t="e">
        <f>VLOOKUP(B1220,price!A:B,6,0)</f>
        <v>#N/A</v>
      </c>
    </row>
    <row r="1220" spans="4:4" x14ac:dyDescent="0.2">
      <c r="D1220" s="5" t="e">
        <f>VLOOKUP(B1221,price!A:B,6,0)</f>
        <v>#N/A</v>
      </c>
    </row>
    <row r="1221" spans="4:4" x14ac:dyDescent="0.2">
      <c r="D1221" s="5" t="e">
        <f>VLOOKUP(B1222,price!A:B,6,0)</f>
        <v>#N/A</v>
      </c>
    </row>
    <row r="1222" spans="4:4" x14ac:dyDescent="0.2">
      <c r="D1222" s="5" t="e">
        <f>VLOOKUP(B1223,price!A:B,6,0)</f>
        <v>#N/A</v>
      </c>
    </row>
    <row r="1223" spans="4:4" x14ac:dyDescent="0.2">
      <c r="D1223" s="5" t="e">
        <f>VLOOKUP(B1224,price!A:B,6,0)</f>
        <v>#N/A</v>
      </c>
    </row>
    <row r="1224" spans="4:4" x14ac:dyDescent="0.2">
      <c r="D1224" s="5" t="e">
        <f>VLOOKUP(B1225,price!A:B,6,0)</f>
        <v>#N/A</v>
      </c>
    </row>
    <row r="1225" spans="4:4" x14ac:dyDescent="0.2">
      <c r="D1225" s="5" t="e">
        <f>VLOOKUP(B1226,price!A:B,6,0)</f>
        <v>#N/A</v>
      </c>
    </row>
    <row r="1226" spans="4:4" x14ac:dyDescent="0.2">
      <c r="D1226" s="5" t="e">
        <f>VLOOKUP(B1227,price!A:B,6,0)</f>
        <v>#N/A</v>
      </c>
    </row>
    <row r="1227" spans="4:4" x14ac:dyDescent="0.2">
      <c r="D1227" s="5" t="e">
        <f>VLOOKUP(B1228,price!A:B,6,0)</f>
        <v>#N/A</v>
      </c>
    </row>
    <row r="1228" spans="4:4" x14ac:dyDescent="0.2">
      <c r="D1228" s="5" t="e">
        <f>VLOOKUP(B1229,price!A:B,6,0)</f>
        <v>#N/A</v>
      </c>
    </row>
    <row r="1229" spans="4:4" x14ac:dyDescent="0.2">
      <c r="D1229" s="5" t="e">
        <f>VLOOKUP(B1230,price!A:B,6,0)</f>
        <v>#N/A</v>
      </c>
    </row>
    <row r="1230" spans="4:4" x14ac:dyDescent="0.2">
      <c r="D1230" s="5" t="e">
        <f>VLOOKUP(B1231,price!A:B,6,0)</f>
        <v>#N/A</v>
      </c>
    </row>
    <row r="1231" spans="4:4" x14ac:dyDescent="0.2">
      <c r="D1231" s="5" t="e">
        <f>VLOOKUP(B1232,price!A:B,6,0)</f>
        <v>#N/A</v>
      </c>
    </row>
    <row r="1232" spans="4:4" x14ac:dyDescent="0.2">
      <c r="D1232" s="5" t="e">
        <f>VLOOKUP(B1233,price!A:B,6,0)</f>
        <v>#N/A</v>
      </c>
    </row>
    <row r="1233" spans="4:4" x14ac:dyDescent="0.2">
      <c r="D1233" s="5" t="e">
        <f>VLOOKUP(B1234,price!A:B,6,0)</f>
        <v>#N/A</v>
      </c>
    </row>
    <row r="1235" spans="4:4" x14ac:dyDescent="0.2">
      <c r="D1235" s="5" t="e">
        <f>VLOOKUP(B1236,price!A:B,6,0)</f>
        <v>#N/A</v>
      </c>
    </row>
    <row r="1236" spans="4:4" x14ac:dyDescent="0.2">
      <c r="D1236" s="5" t="e">
        <f>VLOOKUP(B1237,price!A:B,6,0)</f>
        <v>#N/A</v>
      </c>
    </row>
    <row r="1237" spans="4:4" x14ac:dyDescent="0.2">
      <c r="D1237" s="5" t="e">
        <f>VLOOKUP(B1238,price!A:B,6,0)</f>
        <v>#N/A</v>
      </c>
    </row>
    <row r="1238" spans="4:4" x14ac:dyDescent="0.2">
      <c r="D1238" s="5" t="e">
        <f>VLOOKUP(B1239,price!A:B,6,0)</f>
        <v>#N/A</v>
      </c>
    </row>
    <row r="1239" spans="4:4" x14ac:dyDescent="0.2">
      <c r="D1239" s="5" t="e">
        <f>VLOOKUP(B1240,price!A:B,6,0)</f>
        <v>#N/A</v>
      </c>
    </row>
    <row r="1240" spans="4:4" x14ac:dyDescent="0.2">
      <c r="D1240" s="5" t="e">
        <f>VLOOKUP(B1241,price!A:B,6,0)</f>
        <v>#N/A</v>
      </c>
    </row>
    <row r="1241" spans="4:4" x14ac:dyDescent="0.2">
      <c r="D1241" s="5" t="e">
        <f>VLOOKUP(B1242,price!A:B,6,0)</f>
        <v>#N/A</v>
      </c>
    </row>
    <row r="1242" spans="4:4" x14ac:dyDescent="0.2">
      <c r="D1242" s="5" t="e">
        <f>VLOOKUP(B1243,price!A:B,6,0)</f>
        <v>#N/A</v>
      </c>
    </row>
    <row r="1243" spans="4:4" x14ac:dyDescent="0.2">
      <c r="D1243" s="5" t="e">
        <f>VLOOKUP(B1244,price!A:B,6,0)</f>
        <v>#N/A</v>
      </c>
    </row>
    <row r="1244" spans="4:4" x14ac:dyDescent="0.2">
      <c r="D1244" s="5" t="e">
        <f>VLOOKUP(B1245,price!A:B,6,0)</f>
        <v>#N/A</v>
      </c>
    </row>
    <row r="1246" spans="4:4" x14ac:dyDescent="0.2">
      <c r="D1246" s="5" t="e">
        <f>VLOOKUP(B1247,price!A:B,6,0)</f>
        <v>#N/A</v>
      </c>
    </row>
    <row r="1247" spans="4:4" x14ac:dyDescent="0.2">
      <c r="D1247" s="5" t="e">
        <f>VLOOKUP(B1248,price!A:B,6,0)</f>
        <v>#N/A</v>
      </c>
    </row>
    <row r="1248" spans="4:4" x14ac:dyDescent="0.2">
      <c r="D1248" s="5" t="e">
        <f>VLOOKUP(B1249,price!A:B,6,0)</f>
        <v>#N/A</v>
      </c>
    </row>
    <row r="1249" spans="4:4" x14ac:dyDescent="0.2">
      <c r="D1249" s="5" t="e">
        <f>VLOOKUP(B1250,price!A:B,6,0)</f>
        <v>#N/A</v>
      </c>
    </row>
    <row r="1250" spans="4:4" x14ac:dyDescent="0.2">
      <c r="D1250" s="5" t="e">
        <f>VLOOKUP(B1251,price!A:B,6,0)</f>
        <v>#N/A</v>
      </c>
    </row>
    <row r="1251" spans="4:4" x14ac:dyDescent="0.2">
      <c r="D1251" s="5" t="e">
        <f>VLOOKUP(B1252,price!A:B,6,0)</f>
        <v>#N/A</v>
      </c>
    </row>
    <row r="1252" spans="4:4" x14ac:dyDescent="0.2">
      <c r="D1252" s="5" t="e">
        <f>VLOOKUP(B1253,price!A:B,6,0)</f>
        <v>#N/A</v>
      </c>
    </row>
    <row r="1253" spans="4:4" x14ac:dyDescent="0.2">
      <c r="D1253" s="5" t="e">
        <f>VLOOKUP(B1254,price!A:B,6,0)</f>
        <v>#N/A</v>
      </c>
    </row>
    <row r="1254" spans="4:4" x14ac:dyDescent="0.2">
      <c r="D1254" s="5" t="e">
        <f>VLOOKUP(B1255,price!A:B,6,0)</f>
        <v>#N/A</v>
      </c>
    </row>
    <row r="1255" spans="4:4" x14ac:dyDescent="0.2">
      <c r="D1255" s="5" t="e">
        <f>VLOOKUP(B1256,price!A:B,6,0)</f>
        <v>#N/A</v>
      </c>
    </row>
    <row r="1256" spans="4:4" x14ac:dyDescent="0.2">
      <c r="D1256" s="5" t="e">
        <f>VLOOKUP(B1257,price!A:B,6,0)</f>
        <v>#N/A</v>
      </c>
    </row>
    <row r="1257" spans="4:4" x14ac:dyDescent="0.2">
      <c r="D1257" s="5" t="e">
        <f>VLOOKUP(B1258,price!A:B,6,0)</f>
        <v>#N/A</v>
      </c>
    </row>
    <row r="1258" spans="4:4" x14ac:dyDescent="0.2">
      <c r="D1258" s="5" t="e">
        <f>VLOOKUP(B1259,price!A:B,6,0)</f>
        <v>#N/A</v>
      </c>
    </row>
    <row r="1259" spans="4:4" x14ac:dyDescent="0.2">
      <c r="D1259" s="5" t="e">
        <f>VLOOKUP(B1260,price!A:B,6,0)</f>
        <v>#N/A</v>
      </c>
    </row>
    <row r="1260" spans="4:4" x14ac:dyDescent="0.2">
      <c r="D1260" s="5" t="e">
        <f>VLOOKUP(B1261,price!A:B,6,0)</f>
        <v>#N/A</v>
      </c>
    </row>
    <row r="1261" spans="4:4" x14ac:dyDescent="0.2">
      <c r="D1261" s="5" t="e">
        <f>VLOOKUP(B1262,price!A:B,6,0)</f>
        <v>#N/A</v>
      </c>
    </row>
    <row r="1262" spans="4:4" x14ac:dyDescent="0.2">
      <c r="D1262" s="5" t="e">
        <f>VLOOKUP(B1263,price!A:B,6,0)</f>
        <v>#N/A</v>
      </c>
    </row>
    <row r="1263" spans="4:4" x14ac:dyDescent="0.2">
      <c r="D1263" s="5" t="e">
        <f>VLOOKUP(B1264,price!A:B,6,0)</f>
        <v>#N/A</v>
      </c>
    </row>
    <row r="1264" spans="4:4" x14ac:dyDescent="0.2">
      <c r="D1264" s="5" t="e">
        <f>VLOOKUP(B1265,price!A:B,6,0)</f>
        <v>#N/A</v>
      </c>
    </row>
    <row r="1265" spans="4:4" x14ac:dyDescent="0.2">
      <c r="D1265" s="5" t="e">
        <f>VLOOKUP(B1266,price!A:B,6,0)</f>
        <v>#N/A</v>
      </c>
    </row>
    <row r="1266" spans="4:4" x14ac:dyDescent="0.2">
      <c r="D1266" s="5" t="e">
        <f>VLOOKUP(B1267,price!A:B,6,0)</f>
        <v>#N/A</v>
      </c>
    </row>
    <row r="1267" spans="4:4" x14ac:dyDescent="0.2">
      <c r="D1267" s="5" t="e">
        <f>VLOOKUP(B1268,price!A:B,6,0)</f>
        <v>#N/A</v>
      </c>
    </row>
    <row r="1268" spans="4:4" x14ac:dyDescent="0.2">
      <c r="D1268" s="5" t="e">
        <f>VLOOKUP(B1269,price!A:B,6,0)</f>
        <v>#N/A</v>
      </c>
    </row>
    <row r="1269" spans="4:4" x14ac:dyDescent="0.2">
      <c r="D1269" s="5" t="e">
        <f>VLOOKUP(B1270,price!A:B,6,0)</f>
        <v>#N/A</v>
      </c>
    </row>
    <row r="1270" spans="4:4" x14ac:dyDescent="0.2">
      <c r="D1270" s="5" t="e">
        <f>VLOOKUP(B1271,price!A:B,6,0)</f>
        <v>#N/A</v>
      </c>
    </row>
    <row r="1271" spans="4:4" x14ac:dyDescent="0.2">
      <c r="D1271" s="5" t="e">
        <f>VLOOKUP(B1272,price!A:B,6,0)</f>
        <v>#N/A</v>
      </c>
    </row>
    <row r="1272" spans="4:4" x14ac:dyDescent="0.2">
      <c r="D1272" s="5" t="e">
        <f>VLOOKUP(B1273,price!A:B,6,0)</f>
        <v>#N/A</v>
      </c>
    </row>
    <row r="1273" spans="4:4" x14ac:dyDescent="0.2">
      <c r="D1273" s="5" t="e">
        <f>VLOOKUP(B1274,price!A:B,6,0)</f>
        <v>#N/A</v>
      </c>
    </row>
    <row r="1275" spans="4:4" x14ac:dyDescent="0.2">
      <c r="D1275" s="5" t="e">
        <f>VLOOKUP(B1276,price!A:B,6,0)</f>
        <v>#N/A</v>
      </c>
    </row>
    <row r="1276" spans="4:4" x14ac:dyDescent="0.2">
      <c r="D1276" s="5" t="e">
        <f>VLOOKUP(B1277,price!A:B,6,0)</f>
        <v>#N/A</v>
      </c>
    </row>
    <row r="1277" spans="4:4" x14ac:dyDescent="0.2">
      <c r="D1277" s="5" t="e">
        <f>VLOOKUP(B1278,price!A:B,6,0)</f>
        <v>#N/A</v>
      </c>
    </row>
    <row r="1278" spans="4:4" x14ac:dyDescent="0.2">
      <c r="D1278" s="5" t="e">
        <f>VLOOKUP(B1279,price!A:B,6,0)</f>
        <v>#N/A</v>
      </c>
    </row>
    <row r="1279" spans="4:4" x14ac:dyDescent="0.2">
      <c r="D1279" s="5" t="e">
        <f>VLOOKUP(B1280,price!A:B,6,0)</f>
        <v>#N/A</v>
      </c>
    </row>
    <row r="1281" spans="4:4" x14ac:dyDescent="0.2">
      <c r="D1281" s="5" t="e">
        <f>VLOOKUP(B1282,price!A:B,6,0)</f>
        <v>#N/A</v>
      </c>
    </row>
    <row r="1282" spans="4:4" x14ac:dyDescent="0.2">
      <c r="D1282" s="5" t="e">
        <f>VLOOKUP(B1283,price!A:B,6,0)</f>
        <v>#N/A</v>
      </c>
    </row>
    <row r="1283" spans="4:4" x14ac:dyDescent="0.2">
      <c r="D1283" s="5" t="e">
        <f>VLOOKUP(B1284,price!A:B,6,0)</f>
        <v>#N/A</v>
      </c>
    </row>
    <row r="1284" spans="4:4" x14ac:dyDescent="0.2">
      <c r="D1284" s="5" t="e">
        <f>VLOOKUP(B1285,price!A:B,6,0)</f>
        <v>#N/A</v>
      </c>
    </row>
    <row r="1285" spans="4:4" x14ac:dyDescent="0.2">
      <c r="D1285" s="5" t="e">
        <f>VLOOKUP(B1286,price!A:B,6,0)</f>
        <v>#N/A</v>
      </c>
    </row>
    <row r="1286" spans="4:4" x14ac:dyDescent="0.2">
      <c r="D1286" s="5" t="e">
        <f>VLOOKUP(B1287,price!A:B,6,0)</f>
        <v>#N/A</v>
      </c>
    </row>
    <row r="1287" spans="4:4" x14ac:dyDescent="0.2">
      <c r="D1287" s="5" t="e">
        <f>VLOOKUP(B1288,price!A:B,6,0)</f>
        <v>#N/A</v>
      </c>
    </row>
    <row r="1288" spans="4:4" x14ac:dyDescent="0.2">
      <c r="D1288" s="5" t="e">
        <f>VLOOKUP(B1289,price!A:B,6,0)</f>
        <v>#N/A</v>
      </c>
    </row>
    <row r="1289" spans="4:4" x14ac:dyDescent="0.2">
      <c r="D1289" s="5" t="e">
        <f>VLOOKUP(B1290,price!A:B,6,0)</f>
        <v>#N/A</v>
      </c>
    </row>
    <row r="1290" spans="4:4" x14ac:dyDescent="0.2">
      <c r="D1290" s="5" t="e">
        <f>VLOOKUP(B1291,price!A:B,6,0)</f>
        <v>#N/A</v>
      </c>
    </row>
    <row r="1291" spans="4:4" x14ac:dyDescent="0.2">
      <c r="D1291" s="5" t="e">
        <f>VLOOKUP(B1292,price!A:B,6,0)</f>
        <v>#N/A</v>
      </c>
    </row>
    <row r="1292" spans="4:4" x14ac:dyDescent="0.2">
      <c r="D1292" s="5" t="e">
        <f>VLOOKUP(B1293,price!A:B,6,0)</f>
        <v>#N/A</v>
      </c>
    </row>
    <row r="1293" spans="4:4" x14ac:dyDescent="0.2">
      <c r="D1293" s="5" t="e">
        <f>VLOOKUP(B1294,price!A:B,6,0)</f>
        <v>#N/A</v>
      </c>
    </row>
    <row r="1294" spans="4:4" x14ac:dyDescent="0.2">
      <c r="D1294" s="5" t="e">
        <f>VLOOKUP(B1295,price!A:B,6,0)</f>
        <v>#N/A</v>
      </c>
    </row>
    <row r="1295" spans="4:4" x14ac:dyDescent="0.2">
      <c r="D1295" s="5" t="e">
        <f>VLOOKUP(B1296,price!A:B,6,0)</f>
        <v>#N/A</v>
      </c>
    </row>
    <row r="1296" spans="4:4" x14ac:dyDescent="0.2">
      <c r="D1296" s="5" t="e">
        <f>VLOOKUP(B1297,price!A:B,6,0)</f>
        <v>#N/A</v>
      </c>
    </row>
    <row r="1297" spans="4:4" x14ac:dyDescent="0.2">
      <c r="D1297" s="5" t="e">
        <f>VLOOKUP(B1298,price!A:B,6,0)</f>
        <v>#N/A</v>
      </c>
    </row>
    <row r="1298" spans="4:4" x14ac:dyDescent="0.2">
      <c r="D1298" s="5" t="e">
        <f>VLOOKUP(B1299,price!A:B,6,0)</f>
        <v>#N/A</v>
      </c>
    </row>
    <row r="1299" spans="4:4" x14ac:dyDescent="0.2">
      <c r="D1299" s="5" t="e">
        <f>VLOOKUP(B1300,price!A:B,6,0)</f>
        <v>#N/A</v>
      </c>
    </row>
    <row r="1300" spans="4:4" x14ac:dyDescent="0.2">
      <c r="D1300" s="5" t="e">
        <f>VLOOKUP(B1301,price!A:B,6,0)</f>
        <v>#N/A</v>
      </c>
    </row>
    <row r="1301" spans="4:4" x14ac:dyDescent="0.2">
      <c r="D1301" s="5" t="e">
        <f>VLOOKUP(B1302,price!A:B,6,0)</f>
        <v>#N/A</v>
      </c>
    </row>
    <row r="1302" spans="4:4" x14ac:dyDescent="0.2">
      <c r="D1302" s="5" t="e">
        <f>VLOOKUP(B1303,price!A:B,6,0)</f>
        <v>#N/A</v>
      </c>
    </row>
    <row r="1303" spans="4:4" x14ac:dyDescent="0.2">
      <c r="D1303" s="5" t="e">
        <f>VLOOKUP(B1304,price!A:B,6,0)</f>
        <v>#N/A</v>
      </c>
    </row>
    <row r="1304" spans="4:4" x14ac:dyDescent="0.2">
      <c r="D1304" s="5" t="e">
        <f>VLOOKUP(B1305,price!A:B,6,0)</f>
        <v>#N/A</v>
      </c>
    </row>
    <row r="1305" spans="4:4" x14ac:dyDescent="0.2">
      <c r="D1305" s="5" t="e">
        <f>VLOOKUP(B1306,price!A:B,6,0)</f>
        <v>#N/A</v>
      </c>
    </row>
    <row r="1306" spans="4:4" x14ac:dyDescent="0.2">
      <c r="D1306" s="5" t="e">
        <f>VLOOKUP(B1307,price!A:B,6,0)</f>
        <v>#N/A</v>
      </c>
    </row>
    <row r="1307" spans="4:4" x14ac:dyDescent="0.2">
      <c r="D1307" s="5" t="e">
        <f>VLOOKUP(B1308,price!A:B,6,0)</f>
        <v>#N/A</v>
      </c>
    </row>
    <row r="1308" spans="4:4" x14ac:dyDescent="0.2">
      <c r="D1308" s="5" t="e">
        <f>VLOOKUP(B1309,price!A:B,6,0)</f>
        <v>#N/A</v>
      </c>
    </row>
    <row r="1309" spans="4:4" x14ac:dyDescent="0.2">
      <c r="D1309" s="5" t="e">
        <f>VLOOKUP(B1310,price!A:B,6,0)</f>
        <v>#N/A</v>
      </c>
    </row>
    <row r="1310" spans="4:4" x14ac:dyDescent="0.2">
      <c r="D1310" s="5" t="e">
        <f>VLOOKUP(B1311,price!A:B,6,0)</f>
        <v>#N/A</v>
      </c>
    </row>
    <row r="1311" spans="4:4" x14ac:dyDescent="0.2">
      <c r="D1311" s="5" t="e">
        <f>VLOOKUP(B1312,price!A:B,6,0)</f>
        <v>#N/A</v>
      </c>
    </row>
    <row r="1312" spans="4:4" x14ac:dyDescent="0.2">
      <c r="D1312" s="5" t="e">
        <f>VLOOKUP(B1313,price!A:B,6,0)</f>
        <v>#N/A</v>
      </c>
    </row>
    <row r="1313" spans="4:4" x14ac:dyDescent="0.2">
      <c r="D1313" s="5" t="e">
        <f>VLOOKUP(B1314,price!A:B,6,0)</f>
        <v>#N/A</v>
      </c>
    </row>
    <row r="1314" spans="4:4" x14ac:dyDescent="0.2">
      <c r="D1314" s="5" t="e">
        <f>VLOOKUP(B1315,price!A:B,6,0)</f>
        <v>#N/A</v>
      </c>
    </row>
    <row r="1315" spans="4:4" x14ac:dyDescent="0.2">
      <c r="D1315" s="5" t="e">
        <f>VLOOKUP(B1316,price!A:B,6,0)</f>
        <v>#N/A</v>
      </c>
    </row>
    <row r="1316" spans="4:4" x14ac:dyDescent="0.2">
      <c r="D1316" s="5" t="e">
        <f>VLOOKUP(B1317,price!A:B,6,0)</f>
        <v>#N/A</v>
      </c>
    </row>
    <row r="1317" spans="4:4" x14ac:dyDescent="0.2">
      <c r="D1317" s="5" t="e">
        <f>VLOOKUP(B1318,price!A:B,6,0)</f>
        <v>#N/A</v>
      </c>
    </row>
    <row r="1318" spans="4:4" x14ac:dyDescent="0.2">
      <c r="D1318" s="5" t="e">
        <f>VLOOKUP(B1319,price!A:B,6,0)</f>
        <v>#N/A</v>
      </c>
    </row>
    <row r="1319" spans="4:4" x14ac:dyDescent="0.2">
      <c r="D1319" s="5" t="e">
        <f>VLOOKUP(B1320,price!A:B,6,0)</f>
        <v>#N/A</v>
      </c>
    </row>
    <row r="1320" spans="4:4" x14ac:dyDescent="0.2">
      <c r="D1320" s="5" t="e">
        <f>VLOOKUP(B1321,price!A:B,6,0)</f>
        <v>#N/A</v>
      </c>
    </row>
    <row r="1321" spans="4:4" x14ac:dyDescent="0.2">
      <c r="D1321" s="5" t="e">
        <f>VLOOKUP(B1322,price!A:B,6,0)</f>
        <v>#N/A</v>
      </c>
    </row>
    <row r="1322" spans="4:4" x14ac:dyDescent="0.2">
      <c r="D1322" s="5" t="e">
        <f>VLOOKUP(B1323,price!A:B,6,0)</f>
        <v>#N/A</v>
      </c>
    </row>
    <row r="1323" spans="4:4" x14ac:dyDescent="0.2">
      <c r="D1323" s="5" t="e">
        <f>VLOOKUP(B1324,price!A:B,6,0)</f>
        <v>#N/A</v>
      </c>
    </row>
    <row r="1324" spans="4:4" x14ac:dyDescent="0.2">
      <c r="D1324" s="5" t="e">
        <f>VLOOKUP(B1325,price!A:B,6,0)</f>
        <v>#N/A</v>
      </c>
    </row>
    <row r="1325" spans="4:4" x14ac:dyDescent="0.2">
      <c r="D1325" s="5" t="e">
        <f>VLOOKUP(B1326,price!A:B,6,0)</f>
        <v>#N/A</v>
      </c>
    </row>
    <row r="1326" spans="4:4" x14ac:dyDescent="0.2">
      <c r="D1326" s="5" t="e">
        <f>VLOOKUP(B1327,price!A:B,6,0)</f>
        <v>#N/A</v>
      </c>
    </row>
    <row r="1327" spans="4:4" x14ac:dyDescent="0.2">
      <c r="D1327" s="5" t="e">
        <f>VLOOKUP(B1328,price!A:B,6,0)</f>
        <v>#N/A</v>
      </c>
    </row>
    <row r="1328" spans="4:4" x14ac:dyDescent="0.2">
      <c r="D1328" s="5" t="e">
        <f>VLOOKUP(B1329,price!A:B,6,0)</f>
        <v>#N/A</v>
      </c>
    </row>
    <row r="1329" spans="4:4" x14ac:dyDescent="0.2">
      <c r="D1329" s="5" t="e">
        <f>VLOOKUP(B1330,price!A:B,6,0)</f>
        <v>#N/A</v>
      </c>
    </row>
    <row r="1330" spans="4:4" x14ac:dyDescent="0.2">
      <c r="D1330" s="5" t="e">
        <f>VLOOKUP(B1331,price!A:B,6,0)</f>
        <v>#N/A</v>
      </c>
    </row>
    <row r="1331" spans="4:4" x14ac:dyDescent="0.2">
      <c r="D1331" s="5" t="e">
        <f>VLOOKUP(B1332,price!A:B,6,0)</f>
        <v>#N/A</v>
      </c>
    </row>
    <row r="1332" spans="4:4" x14ac:dyDescent="0.2">
      <c r="D1332" s="5" t="e">
        <f>VLOOKUP(B1333,price!A:B,6,0)</f>
        <v>#N/A</v>
      </c>
    </row>
    <row r="1333" spans="4:4" x14ac:dyDescent="0.2">
      <c r="D1333" s="5" t="e">
        <f>VLOOKUP(B1334,price!A:B,6,0)</f>
        <v>#N/A</v>
      </c>
    </row>
    <row r="1334" spans="4:4" x14ac:dyDescent="0.2">
      <c r="D1334" s="5" t="e">
        <f>VLOOKUP(B1335,price!A:B,6,0)</f>
        <v>#N/A</v>
      </c>
    </row>
    <row r="1335" spans="4:4" x14ac:dyDescent="0.2">
      <c r="D1335" s="5" t="e">
        <f>VLOOKUP(B1336,price!A:B,6,0)</f>
        <v>#N/A</v>
      </c>
    </row>
    <row r="1336" spans="4:4" x14ac:dyDescent="0.2">
      <c r="D1336" s="5" t="e">
        <f>VLOOKUP(B1337,price!A:B,6,0)</f>
        <v>#N/A</v>
      </c>
    </row>
    <row r="1337" spans="4:4" x14ac:dyDescent="0.2">
      <c r="D1337" s="5" t="e">
        <f>VLOOKUP(B1338,price!A:B,6,0)</f>
        <v>#N/A</v>
      </c>
    </row>
  </sheetData>
  <autoFilter ref="A1:F1337" xr:uid="{00000000-0009-0000-0000-000003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6"/>
  <dimension ref="A1:B13"/>
  <sheetViews>
    <sheetView workbookViewId="0">
      <selection activeCell="A17" sqref="A17:XFD17"/>
    </sheetView>
  </sheetViews>
  <sheetFormatPr defaultRowHeight="11.25" x14ac:dyDescent="0.2"/>
  <cols>
    <col min="1" max="1" width="52.33203125" style="58" customWidth="1"/>
    <col min="2" max="2" width="16.33203125" style="58" customWidth="1"/>
    <col min="3" max="3" width="10.6640625" style="13" customWidth="1"/>
    <col min="4" max="4" width="98.33203125" style="13" customWidth="1"/>
    <col min="5" max="248" width="10.6640625" style="13" customWidth="1"/>
    <col min="249" max="249" width="1.1640625" style="13" customWidth="1"/>
    <col min="250" max="250" width="61.33203125" style="13" customWidth="1"/>
    <col min="251" max="252" width="14.83203125" style="13" customWidth="1"/>
    <col min="253" max="253" width="16.33203125" style="13" customWidth="1"/>
    <col min="254" max="254" width="8" style="13" customWidth="1"/>
    <col min="255" max="255" width="14.83203125" style="13" customWidth="1"/>
    <col min="256" max="504" width="10.6640625" style="13" customWidth="1"/>
    <col min="505" max="505" width="1.1640625" style="13" customWidth="1"/>
    <col min="506" max="506" width="61.33203125" style="13" customWidth="1"/>
    <col min="507" max="508" width="14.83203125" style="13" customWidth="1"/>
    <col min="509" max="509" width="16.33203125" style="13" customWidth="1"/>
    <col min="510" max="510" width="8" style="13" customWidth="1"/>
    <col min="511" max="511" width="14.83203125" style="13" customWidth="1"/>
    <col min="512" max="760" width="10.6640625" style="13" customWidth="1"/>
    <col min="761" max="761" width="1.1640625" style="13" customWidth="1"/>
    <col min="762" max="762" width="61.33203125" style="13" customWidth="1"/>
    <col min="763" max="764" width="14.83203125" style="13" customWidth="1"/>
    <col min="765" max="765" width="16.33203125" style="13" customWidth="1"/>
    <col min="766" max="766" width="8" style="13" customWidth="1"/>
    <col min="767" max="767" width="14.83203125" style="13" customWidth="1"/>
    <col min="768" max="1016" width="10.6640625" style="13" customWidth="1"/>
    <col min="1017" max="1017" width="1.1640625" style="13" customWidth="1"/>
    <col min="1018" max="1018" width="61.33203125" style="13" customWidth="1"/>
    <col min="1019" max="1020" width="14.83203125" style="13" customWidth="1"/>
    <col min="1021" max="1021" width="16.33203125" style="13" customWidth="1"/>
    <col min="1022" max="1022" width="8" style="13" customWidth="1"/>
    <col min="1023" max="1023" width="14.83203125" style="13" customWidth="1"/>
    <col min="1024" max="1272" width="10.6640625" style="13" customWidth="1"/>
    <col min="1273" max="1273" width="1.1640625" style="13" customWidth="1"/>
    <col min="1274" max="1274" width="61.33203125" style="13" customWidth="1"/>
    <col min="1275" max="1276" width="14.83203125" style="13" customWidth="1"/>
    <col min="1277" max="1277" width="16.33203125" style="13" customWidth="1"/>
    <col min="1278" max="1278" width="8" style="13" customWidth="1"/>
    <col min="1279" max="1279" width="14.83203125" style="13" customWidth="1"/>
    <col min="1280" max="1528" width="10.6640625" style="13" customWidth="1"/>
    <col min="1529" max="1529" width="1.1640625" style="13" customWidth="1"/>
    <col min="1530" max="1530" width="61.33203125" style="13" customWidth="1"/>
    <col min="1531" max="1532" width="14.83203125" style="13" customWidth="1"/>
    <col min="1533" max="1533" width="16.33203125" style="13" customWidth="1"/>
    <col min="1534" max="1534" width="8" style="13" customWidth="1"/>
    <col min="1535" max="1535" width="14.83203125" style="13" customWidth="1"/>
    <col min="1536" max="1784" width="10.6640625" style="13" customWidth="1"/>
    <col min="1785" max="1785" width="1.1640625" style="13" customWidth="1"/>
    <col min="1786" max="1786" width="61.33203125" style="13" customWidth="1"/>
    <col min="1787" max="1788" width="14.83203125" style="13" customWidth="1"/>
    <col min="1789" max="1789" width="16.33203125" style="13" customWidth="1"/>
    <col min="1790" max="1790" width="8" style="13" customWidth="1"/>
    <col min="1791" max="1791" width="14.83203125" style="13" customWidth="1"/>
    <col min="1792" max="2040" width="10.6640625" style="13" customWidth="1"/>
    <col min="2041" max="2041" width="1.1640625" style="13" customWidth="1"/>
    <col min="2042" max="2042" width="61.33203125" style="13" customWidth="1"/>
    <col min="2043" max="2044" width="14.83203125" style="13" customWidth="1"/>
    <col min="2045" max="2045" width="16.33203125" style="13" customWidth="1"/>
    <col min="2046" max="2046" width="8" style="13" customWidth="1"/>
    <col min="2047" max="2047" width="14.83203125" style="13" customWidth="1"/>
    <col min="2048" max="2296" width="10.6640625" style="13" customWidth="1"/>
    <col min="2297" max="2297" width="1.1640625" style="13" customWidth="1"/>
    <col min="2298" max="2298" width="61.33203125" style="13" customWidth="1"/>
    <col min="2299" max="2300" width="14.83203125" style="13" customWidth="1"/>
    <col min="2301" max="2301" width="16.33203125" style="13" customWidth="1"/>
    <col min="2302" max="2302" width="8" style="13" customWidth="1"/>
    <col min="2303" max="2303" width="14.83203125" style="13" customWidth="1"/>
    <col min="2304" max="2552" width="10.6640625" style="13" customWidth="1"/>
    <col min="2553" max="2553" width="1.1640625" style="13" customWidth="1"/>
    <col min="2554" max="2554" width="61.33203125" style="13" customWidth="1"/>
    <col min="2555" max="2556" width="14.83203125" style="13" customWidth="1"/>
    <col min="2557" max="2557" width="16.33203125" style="13" customWidth="1"/>
    <col min="2558" max="2558" width="8" style="13" customWidth="1"/>
    <col min="2559" max="2559" width="14.83203125" style="13" customWidth="1"/>
    <col min="2560" max="2808" width="10.6640625" style="13" customWidth="1"/>
    <col min="2809" max="2809" width="1.1640625" style="13" customWidth="1"/>
    <col min="2810" max="2810" width="61.33203125" style="13" customWidth="1"/>
    <col min="2811" max="2812" width="14.83203125" style="13" customWidth="1"/>
    <col min="2813" max="2813" width="16.33203125" style="13" customWidth="1"/>
    <col min="2814" max="2814" width="8" style="13" customWidth="1"/>
    <col min="2815" max="2815" width="14.83203125" style="13" customWidth="1"/>
    <col min="2816" max="3064" width="10.6640625" style="13" customWidth="1"/>
    <col min="3065" max="3065" width="1.1640625" style="13" customWidth="1"/>
    <col min="3066" max="3066" width="61.33203125" style="13" customWidth="1"/>
    <col min="3067" max="3068" width="14.83203125" style="13" customWidth="1"/>
    <col min="3069" max="3069" width="16.33203125" style="13" customWidth="1"/>
    <col min="3070" max="3070" width="8" style="13" customWidth="1"/>
    <col min="3071" max="3071" width="14.83203125" style="13" customWidth="1"/>
    <col min="3072" max="3320" width="10.6640625" style="13" customWidth="1"/>
    <col min="3321" max="3321" width="1.1640625" style="13" customWidth="1"/>
    <col min="3322" max="3322" width="61.33203125" style="13" customWidth="1"/>
    <col min="3323" max="3324" width="14.83203125" style="13" customWidth="1"/>
    <col min="3325" max="3325" width="16.33203125" style="13" customWidth="1"/>
    <col min="3326" max="3326" width="8" style="13" customWidth="1"/>
    <col min="3327" max="3327" width="14.83203125" style="13" customWidth="1"/>
    <col min="3328" max="3576" width="10.6640625" style="13" customWidth="1"/>
    <col min="3577" max="3577" width="1.1640625" style="13" customWidth="1"/>
    <col min="3578" max="3578" width="61.33203125" style="13" customWidth="1"/>
    <col min="3579" max="3580" width="14.83203125" style="13" customWidth="1"/>
    <col min="3581" max="3581" width="16.33203125" style="13" customWidth="1"/>
    <col min="3582" max="3582" width="8" style="13" customWidth="1"/>
    <col min="3583" max="3583" width="14.83203125" style="13" customWidth="1"/>
    <col min="3584" max="3832" width="10.6640625" style="13" customWidth="1"/>
    <col min="3833" max="3833" width="1.1640625" style="13" customWidth="1"/>
    <col min="3834" max="3834" width="61.33203125" style="13" customWidth="1"/>
    <col min="3835" max="3836" width="14.83203125" style="13" customWidth="1"/>
    <col min="3837" max="3837" width="16.33203125" style="13" customWidth="1"/>
    <col min="3838" max="3838" width="8" style="13" customWidth="1"/>
    <col min="3839" max="3839" width="14.83203125" style="13" customWidth="1"/>
    <col min="3840" max="4088" width="10.6640625" style="13" customWidth="1"/>
    <col min="4089" max="4089" width="1.1640625" style="13" customWidth="1"/>
    <col min="4090" max="4090" width="61.33203125" style="13" customWidth="1"/>
    <col min="4091" max="4092" width="14.83203125" style="13" customWidth="1"/>
    <col min="4093" max="4093" width="16.33203125" style="13" customWidth="1"/>
    <col min="4094" max="4094" width="8" style="13" customWidth="1"/>
    <col min="4095" max="4095" width="14.83203125" style="13" customWidth="1"/>
    <col min="4096" max="4344" width="10.6640625" style="13" customWidth="1"/>
    <col min="4345" max="4345" width="1.1640625" style="13" customWidth="1"/>
    <col min="4346" max="4346" width="61.33203125" style="13" customWidth="1"/>
    <col min="4347" max="4348" width="14.83203125" style="13" customWidth="1"/>
    <col min="4349" max="4349" width="16.33203125" style="13" customWidth="1"/>
    <col min="4350" max="4350" width="8" style="13" customWidth="1"/>
    <col min="4351" max="4351" width="14.83203125" style="13" customWidth="1"/>
    <col min="4352" max="4600" width="10.6640625" style="13" customWidth="1"/>
    <col min="4601" max="4601" width="1.1640625" style="13" customWidth="1"/>
    <col min="4602" max="4602" width="61.33203125" style="13" customWidth="1"/>
    <col min="4603" max="4604" width="14.83203125" style="13" customWidth="1"/>
    <col min="4605" max="4605" width="16.33203125" style="13" customWidth="1"/>
    <col min="4606" max="4606" width="8" style="13" customWidth="1"/>
    <col min="4607" max="4607" width="14.83203125" style="13" customWidth="1"/>
    <col min="4608" max="4856" width="10.6640625" style="13" customWidth="1"/>
    <col min="4857" max="4857" width="1.1640625" style="13" customWidth="1"/>
    <col min="4858" max="4858" width="61.33203125" style="13" customWidth="1"/>
    <col min="4859" max="4860" width="14.83203125" style="13" customWidth="1"/>
    <col min="4861" max="4861" width="16.33203125" style="13" customWidth="1"/>
    <col min="4862" max="4862" width="8" style="13" customWidth="1"/>
    <col min="4863" max="4863" width="14.83203125" style="13" customWidth="1"/>
    <col min="4864" max="5112" width="10.6640625" style="13" customWidth="1"/>
    <col min="5113" max="5113" width="1.1640625" style="13" customWidth="1"/>
    <col min="5114" max="5114" width="61.33203125" style="13" customWidth="1"/>
    <col min="5115" max="5116" width="14.83203125" style="13" customWidth="1"/>
    <col min="5117" max="5117" width="16.33203125" style="13" customWidth="1"/>
    <col min="5118" max="5118" width="8" style="13" customWidth="1"/>
    <col min="5119" max="5119" width="14.83203125" style="13" customWidth="1"/>
    <col min="5120" max="5368" width="10.6640625" style="13" customWidth="1"/>
    <col min="5369" max="5369" width="1.1640625" style="13" customWidth="1"/>
    <col min="5370" max="5370" width="61.33203125" style="13" customWidth="1"/>
    <col min="5371" max="5372" width="14.83203125" style="13" customWidth="1"/>
    <col min="5373" max="5373" width="16.33203125" style="13" customWidth="1"/>
    <col min="5374" max="5374" width="8" style="13" customWidth="1"/>
    <col min="5375" max="5375" width="14.83203125" style="13" customWidth="1"/>
    <col min="5376" max="5624" width="10.6640625" style="13" customWidth="1"/>
    <col min="5625" max="5625" width="1.1640625" style="13" customWidth="1"/>
    <col min="5626" max="5626" width="61.33203125" style="13" customWidth="1"/>
    <col min="5627" max="5628" width="14.83203125" style="13" customWidth="1"/>
    <col min="5629" max="5629" width="16.33203125" style="13" customWidth="1"/>
    <col min="5630" max="5630" width="8" style="13" customWidth="1"/>
    <col min="5631" max="5631" width="14.83203125" style="13" customWidth="1"/>
    <col min="5632" max="5880" width="10.6640625" style="13" customWidth="1"/>
    <col min="5881" max="5881" width="1.1640625" style="13" customWidth="1"/>
    <col min="5882" max="5882" width="61.33203125" style="13" customWidth="1"/>
    <col min="5883" max="5884" width="14.83203125" style="13" customWidth="1"/>
    <col min="5885" max="5885" width="16.33203125" style="13" customWidth="1"/>
    <col min="5886" max="5886" width="8" style="13" customWidth="1"/>
    <col min="5887" max="5887" width="14.83203125" style="13" customWidth="1"/>
    <col min="5888" max="6136" width="10.6640625" style="13" customWidth="1"/>
    <col min="6137" max="6137" width="1.1640625" style="13" customWidth="1"/>
    <col min="6138" max="6138" width="61.33203125" style="13" customWidth="1"/>
    <col min="6139" max="6140" width="14.83203125" style="13" customWidth="1"/>
    <col min="6141" max="6141" width="16.33203125" style="13" customWidth="1"/>
    <col min="6142" max="6142" width="8" style="13" customWidth="1"/>
    <col min="6143" max="6143" width="14.83203125" style="13" customWidth="1"/>
    <col min="6144" max="6392" width="10.6640625" style="13" customWidth="1"/>
    <col min="6393" max="6393" width="1.1640625" style="13" customWidth="1"/>
    <col min="6394" max="6394" width="61.33203125" style="13" customWidth="1"/>
    <col min="6395" max="6396" width="14.83203125" style="13" customWidth="1"/>
    <col min="6397" max="6397" width="16.33203125" style="13" customWidth="1"/>
    <col min="6398" max="6398" width="8" style="13" customWidth="1"/>
    <col min="6399" max="6399" width="14.83203125" style="13" customWidth="1"/>
    <col min="6400" max="6648" width="10.6640625" style="13" customWidth="1"/>
    <col min="6649" max="6649" width="1.1640625" style="13" customWidth="1"/>
    <col min="6650" max="6650" width="61.33203125" style="13" customWidth="1"/>
    <col min="6651" max="6652" width="14.83203125" style="13" customWidth="1"/>
    <col min="6653" max="6653" width="16.33203125" style="13" customWidth="1"/>
    <col min="6654" max="6654" width="8" style="13" customWidth="1"/>
    <col min="6655" max="6655" width="14.83203125" style="13" customWidth="1"/>
    <col min="6656" max="6904" width="10.6640625" style="13" customWidth="1"/>
    <col min="6905" max="6905" width="1.1640625" style="13" customWidth="1"/>
    <col min="6906" max="6906" width="61.33203125" style="13" customWidth="1"/>
    <col min="6907" max="6908" width="14.83203125" style="13" customWidth="1"/>
    <col min="6909" max="6909" width="16.33203125" style="13" customWidth="1"/>
    <col min="6910" max="6910" width="8" style="13" customWidth="1"/>
    <col min="6911" max="6911" width="14.83203125" style="13" customWidth="1"/>
    <col min="6912" max="7160" width="10.6640625" style="13" customWidth="1"/>
    <col min="7161" max="7161" width="1.1640625" style="13" customWidth="1"/>
    <col min="7162" max="7162" width="61.33203125" style="13" customWidth="1"/>
    <col min="7163" max="7164" width="14.83203125" style="13" customWidth="1"/>
    <col min="7165" max="7165" width="16.33203125" style="13" customWidth="1"/>
    <col min="7166" max="7166" width="8" style="13" customWidth="1"/>
    <col min="7167" max="7167" width="14.83203125" style="13" customWidth="1"/>
    <col min="7168" max="7416" width="10.6640625" style="13" customWidth="1"/>
    <col min="7417" max="7417" width="1.1640625" style="13" customWidth="1"/>
    <col min="7418" max="7418" width="61.33203125" style="13" customWidth="1"/>
    <col min="7419" max="7420" width="14.83203125" style="13" customWidth="1"/>
    <col min="7421" max="7421" width="16.33203125" style="13" customWidth="1"/>
    <col min="7422" max="7422" width="8" style="13" customWidth="1"/>
    <col min="7423" max="7423" width="14.83203125" style="13" customWidth="1"/>
    <col min="7424" max="7672" width="10.6640625" style="13" customWidth="1"/>
    <col min="7673" max="7673" width="1.1640625" style="13" customWidth="1"/>
    <col min="7674" max="7674" width="61.33203125" style="13" customWidth="1"/>
    <col min="7675" max="7676" width="14.83203125" style="13" customWidth="1"/>
    <col min="7677" max="7677" width="16.33203125" style="13" customWidth="1"/>
    <col min="7678" max="7678" width="8" style="13" customWidth="1"/>
    <col min="7679" max="7679" width="14.83203125" style="13" customWidth="1"/>
    <col min="7680" max="7928" width="10.6640625" style="13" customWidth="1"/>
    <col min="7929" max="7929" width="1.1640625" style="13" customWidth="1"/>
    <col min="7930" max="7930" width="61.33203125" style="13" customWidth="1"/>
    <col min="7931" max="7932" width="14.83203125" style="13" customWidth="1"/>
    <col min="7933" max="7933" width="16.33203125" style="13" customWidth="1"/>
    <col min="7934" max="7934" width="8" style="13" customWidth="1"/>
    <col min="7935" max="7935" width="14.83203125" style="13" customWidth="1"/>
    <col min="7936" max="8184" width="10.6640625" style="13" customWidth="1"/>
    <col min="8185" max="8185" width="1.1640625" style="13" customWidth="1"/>
    <col min="8186" max="8186" width="61.33203125" style="13" customWidth="1"/>
    <col min="8187" max="8188" width="14.83203125" style="13" customWidth="1"/>
    <col min="8189" max="8189" width="16.33203125" style="13" customWidth="1"/>
    <col min="8190" max="8190" width="8" style="13" customWidth="1"/>
    <col min="8191" max="8191" width="14.83203125" style="13" customWidth="1"/>
    <col min="8192" max="8440" width="10.6640625" style="13" customWidth="1"/>
    <col min="8441" max="8441" width="1.1640625" style="13" customWidth="1"/>
    <col min="8442" max="8442" width="61.33203125" style="13" customWidth="1"/>
    <col min="8443" max="8444" width="14.83203125" style="13" customWidth="1"/>
    <col min="8445" max="8445" width="16.33203125" style="13" customWidth="1"/>
    <col min="8446" max="8446" width="8" style="13" customWidth="1"/>
    <col min="8447" max="8447" width="14.83203125" style="13" customWidth="1"/>
    <col min="8448" max="8696" width="10.6640625" style="13" customWidth="1"/>
    <col min="8697" max="8697" width="1.1640625" style="13" customWidth="1"/>
    <col min="8698" max="8698" width="61.33203125" style="13" customWidth="1"/>
    <col min="8699" max="8700" width="14.83203125" style="13" customWidth="1"/>
    <col min="8701" max="8701" width="16.33203125" style="13" customWidth="1"/>
    <col min="8702" max="8702" width="8" style="13" customWidth="1"/>
    <col min="8703" max="8703" width="14.83203125" style="13" customWidth="1"/>
    <col min="8704" max="8952" width="10.6640625" style="13" customWidth="1"/>
    <col min="8953" max="8953" width="1.1640625" style="13" customWidth="1"/>
    <col min="8954" max="8954" width="61.33203125" style="13" customWidth="1"/>
    <col min="8955" max="8956" width="14.83203125" style="13" customWidth="1"/>
    <col min="8957" max="8957" width="16.33203125" style="13" customWidth="1"/>
    <col min="8958" max="8958" width="8" style="13" customWidth="1"/>
    <col min="8959" max="8959" width="14.83203125" style="13" customWidth="1"/>
    <col min="8960" max="9208" width="10.6640625" style="13" customWidth="1"/>
    <col min="9209" max="9209" width="1.1640625" style="13" customWidth="1"/>
    <col min="9210" max="9210" width="61.33203125" style="13" customWidth="1"/>
    <col min="9211" max="9212" width="14.83203125" style="13" customWidth="1"/>
    <col min="9213" max="9213" width="16.33203125" style="13" customWidth="1"/>
    <col min="9214" max="9214" width="8" style="13" customWidth="1"/>
    <col min="9215" max="9215" width="14.83203125" style="13" customWidth="1"/>
    <col min="9216" max="9464" width="10.6640625" style="13" customWidth="1"/>
    <col min="9465" max="9465" width="1.1640625" style="13" customWidth="1"/>
    <col min="9466" max="9466" width="61.33203125" style="13" customWidth="1"/>
    <col min="9467" max="9468" width="14.83203125" style="13" customWidth="1"/>
    <col min="9469" max="9469" width="16.33203125" style="13" customWidth="1"/>
    <col min="9470" max="9470" width="8" style="13" customWidth="1"/>
    <col min="9471" max="9471" width="14.83203125" style="13" customWidth="1"/>
    <col min="9472" max="9720" width="10.6640625" style="13" customWidth="1"/>
    <col min="9721" max="9721" width="1.1640625" style="13" customWidth="1"/>
    <col min="9722" max="9722" width="61.33203125" style="13" customWidth="1"/>
    <col min="9723" max="9724" width="14.83203125" style="13" customWidth="1"/>
    <col min="9725" max="9725" width="16.33203125" style="13" customWidth="1"/>
    <col min="9726" max="9726" width="8" style="13" customWidth="1"/>
    <col min="9727" max="9727" width="14.83203125" style="13" customWidth="1"/>
    <col min="9728" max="9976" width="10.6640625" style="13" customWidth="1"/>
    <col min="9977" max="9977" width="1.1640625" style="13" customWidth="1"/>
    <col min="9978" max="9978" width="61.33203125" style="13" customWidth="1"/>
    <col min="9979" max="9980" width="14.83203125" style="13" customWidth="1"/>
    <col min="9981" max="9981" width="16.33203125" style="13" customWidth="1"/>
    <col min="9982" max="9982" width="8" style="13" customWidth="1"/>
    <col min="9983" max="9983" width="14.83203125" style="13" customWidth="1"/>
    <col min="9984" max="10232" width="10.6640625" style="13" customWidth="1"/>
    <col min="10233" max="10233" width="1.1640625" style="13" customWidth="1"/>
    <col min="10234" max="10234" width="61.33203125" style="13" customWidth="1"/>
    <col min="10235" max="10236" width="14.83203125" style="13" customWidth="1"/>
    <col min="10237" max="10237" width="16.33203125" style="13" customWidth="1"/>
    <col min="10238" max="10238" width="8" style="13" customWidth="1"/>
    <col min="10239" max="10239" width="14.83203125" style="13" customWidth="1"/>
    <col min="10240" max="10488" width="10.6640625" style="13" customWidth="1"/>
    <col min="10489" max="10489" width="1.1640625" style="13" customWidth="1"/>
    <col min="10490" max="10490" width="61.33203125" style="13" customWidth="1"/>
    <col min="10491" max="10492" width="14.83203125" style="13" customWidth="1"/>
    <col min="10493" max="10493" width="16.33203125" style="13" customWidth="1"/>
    <col min="10494" max="10494" width="8" style="13" customWidth="1"/>
    <col min="10495" max="10495" width="14.83203125" style="13" customWidth="1"/>
    <col min="10496" max="10744" width="10.6640625" style="13" customWidth="1"/>
    <col min="10745" max="10745" width="1.1640625" style="13" customWidth="1"/>
    <col min="10746" max="10746" width="61.33203125" style="13" customWidth="1"/>
    <col min="10747" max="10748" width="14.83203125" style="13" customWidth="1"/>
    <col min="10749" max="10749" width="16.33203125" style="13" customWidth="1"/>
    <col min="10750" max="10750" width="8" style="13" customWidth="1"/>
    <col min="10751" max="10751" width="14.83203125" style="13" customWidth="1"/>
    <col min="10752" max="11000" width="10.6640625" style="13" customWidth="1"/>
    <col min="11001" max="11001" width="1.1640625" style="13" customWidth="1"/>
    <col min="11002" max="11002" width="61.33203125" style="13" customWidth="1"/>
    <col min="11003" max="11004" width="14.83203125" style="13" customWidth="1"/>
    <col min="11005" max="11005" width="16.33203125" style="13" customWidth="1"/>
    <col min="11006" max="11006" width="8" style="13" customWidth="1"/>
    <col min="11007" max="11007" width="14.83203125" style="13" customWidth="1"/>
    <col min="11008" max="11256" width="10.6640625" style="13" customWidth="1"/>
    <col min="11257" max="11257" width="1.1640625" style="13" customWidth="1"/>
    <col min="11258" max="11258" width="61.33203125" style="13" customWidth="1"/>
    <col min="11259" max="11260" width="14.83203125" style="13" customWidth="1"/>
    <col min="11261" max="11261" width="16.33203125" style="13" customWidth="1"/>
    <col min="11262" max="11262" width="8" style="13" customWidth="1"/>
    <col min="11263" max="11263" width="14.83203125" style="13" customWidth="1"/>
    <col min="11264" max="11512" width="10.6640625" style="13" customWidth="1"/>
    <col min="11513" max="11513" width="1.1640625" style="13" customWidth="1"/>
    <col min="11514" max="11514" width="61.33203125" style="13" customWidth="1"/>
    <col min="11515" max="11516" width="14.83203125" style="13" customWidth="1"/>
    <col min="11517" max="11517" width="16.33203125" style="13" customWidth="1"/>
    <col min="11518" max="11518" width="8" style="13" customWidth="1"/>
    <col min="11519" max="11519" width="14.83203125" style="13" customWidth="1"/>
    <col min="11520" max="11768" width="10.6640625" style="13" customWidth="1"/>
    <col min="11769" max="11769" width="1.1640625" style="13" customWidth="1"/>
    <col min="11770" max="11770" width="61.33203125" style="13" customWidth="1"/>
    <col min="11771" max="11772" width="14.83203125" style="13" customWidth="1"/>
    <col min="11773" max="11773" width="16.33203125" style="13" customWidth="1"/>
    <col min="11774" max="11774" width="8" style="13" customWidth="1"/>
    <col min="11775" max="11775" width="14.83203125" style="13" customWidth="1"/>
    <col min="11776" max="12024" width="10.6640625" style="13" customWidth="1"/>
    <col min="12025" max="12025" width="1.1640625" style="13" customWidth="1"/>
    <col min="12026" max="12026" width="61.33203125" style="13" customWidth="1"/>
    <col min="12027" max="12028" width="14.83203125" style="13" customWidth="1"/>
    <col min="12029" max="12029" width="16.33203125" style="13" customWidth="1"/>
    <col min="12030" max="12030" width="8" style="13" customWidth="1"/>
    <col min="12031" max="12031" width="14.83203125" style="13" customWidth="1"/>
    <col min="12032" max="12280" width="10.6640625" style="13" customWidth="1"/>
    <col min="12281" max="12281" width="1.1640625" style="13" customWidth="1"/>
    <col min="12282" max="12282" width="61.33203125" style="13" customWidth="1"/>
    <col min="12283" max="12284" width="14.83203125" style="13" customWidth="1"/>
    <col min="12285" max="12285" width="16.33203125" style="13" customWidth="1"/>
    <col min="12286" max="12286" width="8" style="13" customWidth="1"/>
    <col min="12287" max="12287" width="14.83203125" style="13" customWidth="1"/>
    <col min="12288" max="12536" width="10.6640625" style="13" customWidth="1"/>
    <col min="12537" max="12537" width="1.1640625" style="13" customWidth="1"/>
    <col min="12538" max="12538" width="61.33203125" style="13" customWidth="1"/>
    <col min="12539" max="12540" width="14.83203125" style="13" customWidth="1"/>
    <col min="12541" max="12541" width="16.33203125" style="13" customWidth="1"/>
    <col min="12542" max="12542" width="8" style="13" customWidth="1"/>
    <col min="12543" max="12543" width="14.83203125" style="13" customWidth="1"/>
    <col min="12544" max="12792" width="10.6640625" style="13" customWidth="1"/>
    <col min="12793" max="12793" width="1.1640625" style="13" customWidth="1"/>
    <col min="12794" max="12794" width="61.33203125" style="13" customWidth="1"/>
    <col min="12795" max="12796" width="14.83203125" style="13" customWidth="1"/>
    <col min="12797" max="12797" width="16.33203125" style="13" customWidth="1"/>
    <col min="12798" max="12798" width="8" style="13" customWidth="1"/>
    <col min="12799" max="12799" width="14.83203125" style="13" customWidth="1"/>
    <col min="12800" max="13048" width="10.6640625" style="13" customWidth="1"/>
    <col min="13049" max="13049" width="1.1640625" style="13" customWidth="1"/>
    <col min="13050" max="13050" width="61.33203125" style="13" customWidth="1"/>
    <col min="13051" max="13052" width="14.83203125" style="13" customWidth="1"/>
    <col min="13053" max="13053" width="16.33203125" style="13" customWidth="1"/>
    <col min="13054" max="13054" width="8" style="13" customWidth="1"/>
    <col min="13055" max="13055" width="14.83203125" style="13" customWidth="1"/>
    <col min="13056" max="13304" width="10.6640625" style="13" customWidth="1"/>
    <col min="13305" max="13305" width="1.1640625" style="13" customWidth="1"/>
    <col min="13306" max="13306" width="61.33203125" style="13" customWidth="1"/>
    <col min="13307" max="13308" width="14.83203125" style="13" customWidth="1"/>
    <col min="13309" max="13309" width="16.33203125" style="13" customWidth="1"/>
    <col min="13310" max="13310" width="8" style="13" customWidth="1"/>
    <col min="13311" max="13311" width="14.83203125" style="13" customWidth="1"/>
    <col min="13312" max="13560" width="10.6640625" style="13" customWidth="1"/>
    <col min="13561" max="13561" width="1.1640625" style="13" customWidth="1"/>
    <col min="13562" max="13562" width="61.33203125" style="13" customWidth="1"/>
    <col min="13563" max="13564" width="14.83203125" style="13" customWidth="1"/>
    <col min="13565" max="13565" width="16.33203125" style="13" customWidth="1"/>
    <col min="13566" max="13566" width="8" style="13" customWidth="1"/>
    <col min="13567" max="13567" width="14.83203125" style="13" customWidth="1"/>
    <col min="13568" max="13816" width="10.6640625" style="13" customWidth="1"/>
    <col min="13817" max="13817" width="1.1640625" style="13" customWidth="1"/>
    <col min="13818" max="13818" width="61.33203125" style="13" customWidth="1"/>
    <col min="13819" max="13820" width="14.83203125" style="13" customWidth="1"/>
    <col min="13821" max="13821" width="16.33203125" style="13" customWidth="1"/>
    <col min="13822" max="13822" width="8" style="13" customWidth="1"/>
    <col min="13823" max="13823" width="14.83203125" style="13" customWidth="1"/>
    <col min="13824" max="14072" width="10.6640625" style="13" customWidth="1"/>
    <col min="14073" max="14073" width="1.1640625" style="13" customWidth="1"/>
    <col min="14074" max="14074" width="61.33203125" style="13" customWidth="1"/>
    <col min="14075" max="14076" width="14.83203125" style="13" customWidth="1"/>
    <col min="14077" max="14077" width="16.33203125" style="13" customWidth="1"/>
    <col min="14078" max="14078" width="8" style="13" customWidth="1"/>
    <col min="14079" max="14079" width="14.83203125" style="13" customWidth="1"/>
    <col min="14080" max="14328" width="10.6640625" style="13" customWidth="1"/>
    <col min="14329" max="14329" width="1.1640625" style="13" customWidth="1"/>
    <col min="14330" max="14330" width="61.33203125" style="13" customWidth="1"/>
    <col min="14331" max="14332" width="14.83203125" style="13" customWidth="1"/>
    <col min="14333" max="14333" width="16.33203125" style="13" customWidth="1"/>
    <col min="14334" max="14334" width="8" style="13" customWidth="1"/>
    <col min="14335" max="14335" width="14.83203125" style="13" customWidth="1"/>
    <col min="14336" max="14584" width="10.6640625" style="13" customWidth="1"/>
    <col min="14585" max="14585" width="1.1640625" style="13" customWidth="1"/>
    <col min="14586" max="14586" width="61.33203125" style="13" customWidth="1"/>
    <col min="14587" max="14588" width="14.83203125" style="13" customWidth="1"/>
    <col min="14589" max="14589" width="16.33203125" style="13" customWidth="1"/>
    <col min="14590" max="14590" width="8" style="13" customWidth="1"/>
    <col min="14591" max="14591" width="14.83203125" style="13" customWidth="1"/>
    <col min="14592" max="14840" width="10.6640625" style="13" customWidth="1"/>
    <col min="14841" max="14841" width="1.1640625" style="13" customWidth="1"/>
    <col min="14842" max="14842" width="61.33203125" style="13" customWidth="1"/>
    <col min="14843" max="14844" width="14.83203125" style="13" customWidth="1"/>
    <col min="14845" max="14845" width="16.33203125" style="13" customWidth="1"/>
    <col min="14846" max="14846" width="8" style="13" customWidth="1"/>
    <col min="14847" max="14847" width="14.83203125" style="13" customWidth="1"/>
    <col min="14848" max="15096" width="10.6640625" style="13" customWidth="1"/>
    <col min="15097" max="15097" width="1.1640625" style="13" customWidth="1"/>
    <col min="15098" max="15098" width="61.33203125" style="13" customWidth="1"/>
    <col min="15099" max="15100" width="14.83203125" style="13" customWidth="1"/>
    <col min="15101" max="15101" width="16.33203125" style="13" customWidth="1"/>
    <col min="15102" max="15102" width="8" style="13" customWidth="1"/>
    <col min="15103" max="15103" width="14.83203125" style="13" customWidth="1"/>
    <col min="15104" max="15352" width="10.6640625" style="13" customWidth="1"/>
    <col min="15353" max="15353" width="1.1640625" style="13" customWidth="1"/>
    <col min="15354" max="15354" width="61.33203125" style="13" customWidth="1"/>
    <col min="15355" max="15356" width="14.83203125" style="13" customWidth="1"/>
    <col min="15357" max="15357" width="16.33203125" style="13" customWidth="1"/>
    <col min="15358" max="15358" width="8" style="13" customWidth="1"/>
    <col min="15359" max="15359" width="14.83203125" style="13" customWidth="1"/>
    <col min="15360" max="15608" width="10.6640625" style="13" customWidth="1"/>
    <col min="15609" max="15609" width="1.1640625" style="13" customWidth="1"/>
    <col min="15610" max="15610" width="61.33203125" style="13" customWidth="1"/>
    <col min="15611" max="15612" width="14.83203125" style="13" customWidth="1"/>
    <col min="15613" max="15613" width="16.33203125" style="13" customWidth="1"/>
    <col min="15614" max="15614" width="8" style="13" customWidth="1"/>
    <col min="15615" max="15615" width="14.83203125" style="13" customWidth="1"/>
    <col min="15616" max="15864" width="10.6640625" style="13" customWidth="1"/>
    <col min="15865" max="15865" width="1.1640625" style="13" customWidth="1"/>
    <col min="15866" max="15866" width="61.33203125" style="13" customWidth="1"/>
    <col min="15867" max="15868" width="14.83203125" style="13" customWidth="1"/>
    <col min="15869" max="15869" width="16.33203125" style="13" customWidth="1"/>
    <col min="15870" max="15870" width="8" style="13" customWidth="1"/>
    <col min="15871" max="15871" width="14.83203125" style="13" customWidth="1"/>
    <col min="15872" max="16120" width="10.6640625" style="13" customWidth="1"/>
    <col min="16121" max="16121" width="1.1640625" style="13" customWidth="1"/>
    <col min="16122" max="16122" width="61.33203125" style="13" customWidth="1"/>
    <col min="16123" max="16124" width="14.83203125" style="13" customWidth="1"/>
    <col min="16125" max="16125" width="16.33203125" style="13" customWidth="1"/>
    <col min="16126" max="16126" width="8" style="13" customWidth="1"/>
    <col min="16127" max="16127" width="14.83203125" style="13" customWidth="1"/>
    <col min="16128" max="16384" width="10.6640625" style="13" customWidth="1"/>
  </cols>
  <sheetData>
    <row r="1" spans="1:2" ht="28.5" customHeight="1" x14ac:dyDescent="0.2">
      <c r="A1" s="59"/>
      <c r="B1" s="60" t="s">
        <v>33</v>
      </c>
    </row>
    <row r="2" spans="1:2" ht="11.25" customHeight="1" x14ac:dyDescent="0.2">
      <c r="A2" s="61"/>
      <c r="B2" s="62"/>
    </row>
    <row r="3" spans="1:2" ht="12" customHeight="1" x14ac:dyDescent="0.2">
      <c r="A3" s="63" t="s">
        <v>34</v>
      </c>
      <c r="B3" s="64"/>
    </row>
    <row r="4" spans="1:2" ht="12" customHeight="1" x14ac:dyDescent="0.2">
      <c r="A4" s="67" t="s">
        <v>18</v>
      </c>
      <c r="B4" s="68">
        <v>1500</v>
      </c>
    </row>
    <row r="5" spans="1:2" ht="11.25" customHeight="1" x14ac:dyDescent="0.2">
      <c r="A5" s="67" t="s">
        <v>19</v>
      </c>
      <c r="B5" s="68">
        <v>1800</v>
      </c>
    </row>
    <row r="6" spans="1:2" ht="11.25" customHeight="1" x14ac:dyDescent="0.2">
      <c r="A6" s="65" t="s">
        <v>20</v>
      </c>
      <c r="B6" s="68">
        <v>2100</v>
      </c>
    </row>
    <row r="7" spans="1:2" ht="11.25" customHeight="1" x14ac:dyDescent="0.2">
      <c r="A7" s="65" t="s">
        <v>21</v>
      </c>
      <c r="B7" s="68">
        <v>2400</v>
      </c>
    </row>
    <row r="8" spans="1:2" ht="11.25" customHeight="1" x14ac:dyDescent="0.2">
      <c r="A8" s="65" t="s">
        <v>22</v>
      </c>
      <c r="B8" s="68">
        <v>2700</v>
      </c>
    </row>
    <row r="9" spans="1:2" ht="11.25" customHeight="1" x14ac:dyDescent="0.2">
      <c r="A9" s="67" t="s">
        <v>23</v>
      </c>
      <c r="B9" s="68">
        <v>3000</v>
      </c>
    </row>
    <row r="10" spans="1:2" ht="11.25" customHeight="1" x14ac:dyDescent="0.2">
      <c r="A10" s="67" t="s">
        <v>28</v>
      </c>
      <c r="B10" s="68">
        <v>3300</v>
      </c>
    </row>
    <row r="11" spans="1:2" ht="11.25" customHeight="1" x14ac:dyDescent="0.2">
      <c r="A11" s="65" t="s">
        <v>27</v>
      </c>
      <c r="B11" s="68">
        <v>3600</v>
      </c>
    </row>
    <row r="12" spans="1:2" ht="11.25" customHeight="1" x14ac:dyDescent="0.2">
      <c r="A12" s="67" t="s">
        <v>25</v>
      </c>
      <c r="B12" s="68">
        <v>3900</v>
      </c>
    </row>
    <row r="13" spans="1:2" x14ac:dyDescent="0.2">
      <c r="A13" s="66" t="s">
        <v>26</v>
      </c>
      <c r="B13" s="68">
        <v>7000</v>
      </c>
    </row>
  </sheetData>
  <autoFilter ref="A3:B292" xr:uid="{00000000-0009-0000-0000-000004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11"/>
  <dimension ref="A1:G178"/>
  <sheetViews>
    <sheetView workbookViewId="0">
      <selection activeCell="F27" sqref="F27"/>
    </sheetView>
  </sheetViews>
  <sheetFormatPr defaultRowHeight="11.25" x14ac:dyDescent="0.2"/>
  <cols>
    <col min="1" max="1" width="32.6640625" customWidth="1"/>
    <col min="2" max="2" width="39.33203125" customWidth="1"/>
    <col min="3" max="3" width="31" customWidth="1"/>
    <col min="4" max="4" width="21.6640625" customWidth="1"/>
    <col min="5" max="5" width="40.83203125" customWidth="1"/>
    <col min="6" max="6" width="36.33203125" customWidth="1"/>
    <col min="7" max="7" width="18.6640625" customWidth="1"/>
  </cols>
  <sheetData>
    <row r="1" spans="1:7" s="9" customFormat="1" ht="15" x14ac:dyDescent="0.25">
      <c r="A1" s="9" t="s">
        <v>0</v>
      </c>
      <c r="B1" s="8" t="str">
        <f ca="1">INDIRECT(ADDRESS(ROW($A$1)-COLUMN($A$1)+COLUMN(),1))</f>
        <v>Bailey_Cantrell</v>
      </c>
      <c r="C1" s="8" t="str">
        <f t="shared" ref="C1:F1" ca="1" si="0">INDIRECT(ADDRESS(ROW($A$1)-COLUMN($A$1)+COLUMN(),1))</f>
        <v>Maximillian_Mahoney</v>
      </c>
      <c r="D1" s="8" t="str">
        <f t="shared" ca="1" si="0"/>
        <v>Kobi_Huffman</v>
      </c>
      <c r="E1" s="8" t="str">
        <f t="shared" ca="1" si="0"/>
        <v>Theodore_Kim</v>
      </c>
      <c r="F1" s="8" t="str">
        <f t="shared" ca="1" si="0"/>
        <v>All_managers</v>
      </c>
      <c r="G1" s="8"/>
    </row>
    <row r="2" spans="1:7" x14ac:dyDescent="0.2">
      <c r="A2" s="7" t="s">
        <v>2</v>
      </c>
      <c r="B2" t="s">
        <v>6</v>
      </c>
      <c r="C2" s="7" t="s">
        <v>8</v>
      </c>
      <c r="D2" s="7" t="s">
        <v>11</v>
      </c>
      <c r="E2" s="7" t="s">
        <v>14</v>
      </c>
      <c r="F2" s="1" t="s">
        <v>6</v>
      </c>
    </row>
    <row r="3" spans="1:7" x14ac:dyDescent="0.2">
      <c r="A3" s="7" t="s">
        <v>3</v>
      </c>
      <c r="B3" s="7" t="s">
        <v>7</v>
      </c>
      <c r="C3" s="7" t="s">
        <v>9</v>
      </c>
      <c r="D3" s="7" t="s">
        <v>12</v>
      </c>
      <c r="F3" s="1" t="s">
        <v>7</v>
      </c>
    </row>
    <row r="4" spans="1:7" x14ac:dyDescent="0.2">
      <c r="A4" s="7" t="s">
        <v>4</v>
      </c>
      <c r="C4" s="7" t="s">
        <v>10</v>
      </c>
      <c r="D4" s="7" t="s">
        <v>13</v>
      </c>
      <c r="F4" s="1" t="s">
        <v>8</v>
      </c>
    </row>
    <row r="5" spans="1:7" x14ac:dyDescent="0.2">
      <c r="A5" s="7" t="s">
        <v>5</v>
      </c>
      <c r="B5" s="1"/>
      <c r="C5" s="1"/>
      <c r="F5" s="1" t="s">
        <v>9</v>
      </c>
    </row>
    <row r="6" spans="1:7" x14ac:dyDescent="0.2">
      <c r="A6" s="7" t="s">
        <v>1</v>
      </c>
      <c r="B6" s="1"/>
      <c r="F6" s="1" t="s">
        <v>10</v>
      </c>
    </row>
    <row r="7" spans="1:7" x14ac:dyDescent="0.2">
      <c r="A7" s="1"/>
      <c r="B7" s="1"/>
      <c r="F7" s="1" t="s">
        <v>11</v>
      </c>
    </row>
    <row r="8" spans="1:7" x14ac:dyDescent="0.2">
      <c r="B8" s="1"/>
      <c r="F8" s="1" t="s">
        <v>12</v>
      </c>
    </row>
    <row r="9" spans="1:7" x14ac:dyDescent="0.2">
      <c r="A9" s="1"/>
      <c r="F9" s="1" t="s">
        <v>13</v>
      </c>
    </row>
    <row r="10" spans="1:7" x14ac:dyDescent="0.2">
      <c r="A10" s="7"/>
      <c r="F10" s="1" t="s">
        <v>14</v>
      </c>
    </row>
    <row r="11" spans="1:7" x14ac:dyDescent="0.2">
      <c r="F11" s="1"/>
    </row>
    <row r="12" spans="1:7" x14ac:dyDescent="0.2">
      <c r="A12" s="1"/>
      <c r="F12" s="1"/>
    </row>
    <row r="13" spans="1:7" x14ac:dyDescent="0.2">
      <c r="F13" s="1"/>
    </row>
    <row r="14" spans="1:7" x14ac:dyDescent="0.2">
      <c r="F14" s="1"/>
    </row>
    <row r="15" spans="1:7" x14ac:dyDescent="0.2">
      <c r="F15" s="7"/>
    </row>
    <row r="16" spans="1:7" x14ac:dyDescent="0.2">
      <c r="A16" s="7"/>
      <c r="B16" s="1"/>
      <c r="F16" s="1"/>
    </row>
    <row r="17" spans="1:6" s="1" customFormat="1" x14ac:dyDescent="0.2">
      <c r="A17" s="7"/>
    </row>
    <row r="18" spans="1:6" x14ac:dyDescent="0.2">
      <c r="A18" s="1"/>
      <c r="B18" s="1"/>
      <c r="F18" s="1"/>
    </row>
    <row r="19" spans="1:6" x14ac:dyDescent="0.2">
      <c r="A19" s="1"/>
      <c r="B19" s="1"/>
      <c r="F19" s="1"/>
    </row>
    <row r="20" spans="1:6" x14ac:dyDescent="0.2">
      <c r="A20" s="7"/>
      <c r="F20" s="1"/>
    </row>
    <row r="21" spans="1:6" s="1" customFormat="1" x14ac:dyDescent="0.2">
      <c r="A21"/>
      <c r="B21"/>
    </row>
    <row r="22" spans="1:6" x14ac:dyDescent="0.2">
      <c r="F22" s="1"/>
    </row>
    <row r="23" spans="1:6" x14ac:dyDescent="0.2">
      <c r="F23" s="1"/>
    </row>
    <row r="24" spans="1:6" x14ac:dyDescent="0.2">
      <c r="F24" s="1"/>
    </row>
    <row r="25" spans="1:6" x14ac:dyDescent="0.2">
      <c r="F25" s="1"/>
    </row>
    <row r="26" spans="1:6" x14ac:dyDescent="0.2">
      <c r="A26" s="7"/>
      <c r="F26" s="1"/>
    </row>
    <row r="27" spans="1:6" ht="23.25" customHeight="1" x14ac:dyDescent="0.2">
      <c r="A27" s="7"/>
      <c r="F27" s="1"/>
    </row>
    <row r="28" spans="1:6" s="1" customFormat="1" ht="23.25" customHeight="1" x14ac:dyDescent="0.2">
      <c r="A28" s="7"/>
    </row>
    <row r="29" spans="1:6" x14ac:dyDescent="0.2">
      <c r="F29" s="1"/>
    </row>
    <row r="30" spans="1:6" x14ac:dyDescent="0.2">
      <c r="F30" s="1"/>
    </row>
    <row r="31" spans="1:6" x14ac:dyDescent="0.2">
      <c r="F31" s="1"/>
    </row>
    <row r="32" spans="1:6" s="1" customFormat="1" x14ac:dyDescent="0.2">
      <c r="A32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5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  <row r="118" spans="6:6" x14ac:dyDescent="0.2">
      <c r="F118" s="1"/>
    </row>
    <row r="119" spans="6:6" x14ac:dyDescent="0.2">
      <c r="F119" s="1"/>
    </row>
    <row r="120" spans="6:6" x14ac:dyDescent="0.2">
      <c r="F120" s="1"/>
    </row>
    <row r="121" spans="6:6" x14ac:dyDescent="0.2">
      <c r="F121" s="1"/>
    </row>
    <row r="122" spans="6:6" x14ac:dyDescent="0.2">
      <c r="F122" s="1"/>
    </row>
    <row r="123" spans="6:6" x14ac:dyDescent="0.2">
      <c r="F123" s="1"/>
    </row>
    <row r="124" spans="6:6" x14ac:dyDescent="0.2">
      <c r="F124" s="1"/>
    </row>
    <row r="125" spans="6:6" x14ac:dyDescent="0.2">
      <c r="F125" s="1"/>
    </row>
    <row r="126" spans="6:6" x14ac:dyDescent="0.2">
      <c r="F126" s="1"/>
    </row>
    <row r="127" spans="6:6" x14ac:dyDescent="0.2">
      <c r="F127" s="1"/>
    </row>
    <row r="128" spans="6:6" x14ac:dyDescent="0.2">
      <c r="F128" s="1"/>
    </row>
    <row r="129" spans="6:6" x14ac:dyDescent="0.2">
      <c r="F129" s="1"/>
    </row>
    <row r="130" spans="6:6" x14ac:dyDescent="0.2">
      <c r="F130" s="1"/>
    </row>
    <row r="131" spans="6:6" x14ac:dyDescent="0.2">
      <c r="F131" s="1"/>
    </row>
    <row r="132" spans="6:6" x14ac:dyDescent="0.2">
      <c r="F132" s="1"/>
    </row>
    <row r="133" spans="6:6" x14ac:dyDescent="0.2">
      <c r="F133" s="1"/>
    </row>
    <row r="134" spans="6:6" x14ac:dyDescent="0.2">
      <c r="F134" s="1"/>
    </row>
    <row r="135" spans="6:6" x14ac:dyDescent="0.2">
      <c r="F135" s="1"/>
    </row>
    <row r="136" spans="6:6" x14ac:dyDescent="0.2">
      <c r="F136" s="1"/>
    </row>
    <row r="137" spans="6:6" x14ac:dyDescent="0.2">
      <c r="F137" s="1"/>
    </row>
    <row r="138" spans="6:6" x14ac:dyDescent="0.2">
      <c r="F138" s="1"/>
    </row>
    <row r="139" spans="6:6" x14ac:dyDescent="0.2">
      <c r="F139" s="1"/>
    </row>
    <row r="140" spans="6:6" x14ac:dyDescent="0.2">
      <c r="F140" s="7"/>
    </row>
    <row r="141" spans="6:6" x14ac:dyDescent="0.2">
      <c r="F141" s="1"/>
    </row>
    <row r="142" spans="6:6" x14ac:dyDescent="0.2">
      <c r="F142" s="1"/>
    </row>
    <row r="143" spans="6:6" x14ac:dyDescent="0.2">
      <c r="F143" s="1"/>
    </row>
    <row r="144" spans="6:6" x14ac:dyDescent="0.2">
      <c r="F144" s="1"/>
    </row>
    <row r="145" spans="6:6" x14ac:dyDescent="0.2">
      <c r="F145" s="1"/>
    </row>
    <row r="146" spans="6:6" x14ac:dyDescent="0.2">
      <c r="F146" s="1"/>
    </row>
    <row r="147" spans="6:6" x14ac:dyDescent="0.2">
      <c r="F147" s="1"/>
    </row>
    <row r="148" spans="6:6" x14ac:dyDescent="0.2">
      <c r="F148" s="1"/>
    </row>
    <row r="149" spans="6:6" x14ac:dyDescent="0.2">
      <c r="F149" s="1"/>
    </row>
    <row r="150" spans="6:6" x14ac:dyDescent="0.2">
      <c r="F150" s="1"/>
    </row>
    <row r="151" spans="6:6" x14ac:dyDescent="0.2">
      <c r="F151" s="1"/>
    </row>
    <row r="152" spans="6:6" x14ac:dyDescent="0.2">
      <c r="F152" s="1"/>
    </row>
    <row r="153" spans="6:6" x14ac:dyDescent="0.2">
      <c r="F153" s="1"/>
    </row>
    <row r="154" spans="6:6" x14ac:dyDescent="0.2">
      <c r="F154" s="1"/>
    </row>
    <row r="155" spans="6:6" x14ac:dyDescent="0.2">
      <c r="F155" s="1"/>
    </row>
    <row r="156" spans="6:6" x14ac:dyDescent="0.2">
      <c r="F156" s="1"/>
    </row>
    <row r="157" spans="6:6" x14ac:dyDescent="0.2">
      <c r="F157" s="1"/>
    </row>
    <row r="158" spans="6:6" x14ac:dyDescent="0.2">
      <c r="F158" s="1"/>
    </row>
    <row r="162" spans="6:6" x14ac:dyDescent="0.2">
      <c r="F162" s="1"/>
    </row>
    <row r="164" spans="6:6" x14ac:dyDescent="0.2">
      <c r="F164" s="1"/>
    </row>
    <row r="168" spans="6:6" x14ac:dyDescent="0.2">
      <c r="F168" s="1"/>
    </row>
    <row r="169" spans="6:6" x14ac:dyDescent="0.2">
      <c r="F169" s="1"/>
    </row>
    <row r="170" spans="6:6" x14ac:dyDescent="0.2">
      <c r="F170" s="1"/>
    </row>
    <row r="172" spans="6:6" x14ac:dyDescent="0.2">
      <c r="F172" s="1"/>
    </row>
    <row r="173" spans="6:6" x14ac:dyDescent="0.2">
      <c r="F173" s="1"/>
    </row>
    <row r="178" spans="6:6" x14ac:dyDescent="0.2">
      <c r="F178" s="1"/>
    </row>
  </sheetData>
  <sortState xmlns:xlrd2="http://schemas.microsoft.com/office/spreadsheetml/2017/richdata2" ref="F3:F178">
    <sortCondition ref="F3:F17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Instructions</vt:lpstr>
      <vt:lpstr>PLAN</vt:lpstr>
      <vt:lpstr>All_groups</vt:lpstr>
      <vt:lpstr>All_managers</vt:lpstr>
      <vt:lpstr>Bailey_Cantrell</vt:lpstr>
      <vt:lpstr>Kobi_Huffman</vt:lpstr>
      <vt:lpstr>Maximillian_Mahoney</vt:lpstr>
      <vt:lpstr>Theodore_Kim</vt:lpstr>
      <vt:lpstr>TIMEWATCH</vt:lpstr>
      <vt:lpstr>WOODTECH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rootina</dc:creator>
  <cp:lastModifiedBy>1</cp:lastModifiedBy>
  <cp:revision>1</cp:revision>
  <dcterms:created xsi:type="dcterms:W3CDTF">2021-12-15T12:51:58Z</dcterms:created>
  <dcterms:modified xsi:type="dcterms:W3CDTF">2026-03-17T15:55:59Z</dcterms:modified>
</cp:coreProperties>
</file>